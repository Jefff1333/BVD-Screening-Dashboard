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C:\Users\genatha\Documents\Ebola SSD\Epi_Surveillance\Deliverables\PoE\"/>
    </mc:Choice>
  </mc:AlternateContent>
  <xr:revisionPtr revIDLastSave="480" documentId="8_{DDDF8032-4B17-4ADF-9545-3D1D08CAE793}" xr6:coauthVersionLast="47" xr6:coauthVersionMax="47" xr10:uidLastSave="{FFFCF8F1-E57E-4CEE-B806-523915068E51}"/>
  <bookViews>
    <workbookView xWindow="-110" yWindow="-110" windowWidth="19420" windowHeight="10300" xr2:uid="{00000000-000D-0000-FFFF-FFFF00000000}"/>
  </bookViews>
  <sheets>
    <sheet name="Daily entry" sheetId="2" r:id="rId1"/>
    <sheet name="PoE List" sheetId="3" r:id="rId2"/>
    <sheet name="Reporting check" sheetId="4" state="hidden" r:id="rId3"/>
    <sheet name="wide_data_OL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4" l="1"/>
  <c r="B40" i="4"/>
  <c r="B41" i="4"/>
  <c r="B42" i="4"/>
  <c r="B43" i="4"/>
  <c r="C6" i="4"/>
  <c r="C43" i="4"/>
  <c r="B2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5" i="4"/>
  <c r="P4" i="4" l="1"/>
  <c r="P43" i="4" s="1"/>
  <c r="Q4" i="4"/>
  <c r="Q43" i="4" s="1"/>
  <c r="N4" i="4"/>
  <c r="N43" i="4" s="1"/>
  <c r="O4" i="4"/>
  <c r="O43" i="4" s="1"/>
  <c r="L4" i="4"/>
  <c r="L43" i="4" s="1"/>
  <c r="M4" i="4"/>
  <c r="M43" i="4" s="1"/>
  <c r="J4" i="4"/>
  <c r="J43" i="4" s="1"/>
  <c r="K4" i="4"/>
  <c r="K43" i="4" s="1"/>
  <c r="I4" i="4"/>
  <c r="I43" i="4" s="1"/>
  <c r="G4" i="4"/>
  <c r="G43" i="4" s="1"/>
  <c r="H4" i="4"/>
  <c r="H43" i="4" s="1"/>
  <c r="E4" i="4"/>
  <c r="E43" i="4" s="1"/>
  <c r="F4" i="4"/>
  <c r="F43" i="4" s="1"/>
  <c r="D4" i="4"/>
  <c r="D43" i="4" s="1"/>
  <c r="B38" i="4" s="1"/>
  <c r="Q5" i="4" l="1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D6" i="4"/>
  <c r="D7" i="4"/>
  <c r="D8" i="4"/>
  <c r="D9" i="4"/>
  <c r="D10" i="4"/>
  <c r="B5" i="4" s="1"/>
  <c r="D11" i="4"/>
  <c r="B6" i="4" s="1"/>
  <c r="D12" i="4"/>
  <c r="B7" i="4" s="1"/>
  <c r="D13" i="4"/>
  <c r="B8" i="4" s="1"/>
  <c r="D14" i="4"/>
  <c r="B9" i="4" s="1"/>
  <c r="D15" i="4"/>
  <c r="B10" i="4" s="1"/>
  <c r="D16" i="4"/>
  <c r="B11" i="4" s="1"/>
  <c r="D17" i="4"/>
  <c r="B12" i="4" s="1"/>
  <c r="D18" i="4"/>
  <c r="B13" i="4" s="1"/>
  <c r="D19" i="4"/>
  <c r="B14" i="4" s="1"/>
  <c r="D20" i="4"/>
  <c r="B15" i="4" s="1"/>
  <c r="D21" i="4"/>
  <c r="B16" i="4" s="1"/>
  <c r="D22" i="4"/>
  <c r="B17" i="4" s="1"/>
  <c r="D23" i="4"/>
  <c r="B18" i="4" s="1"/>
  <c r="D24" i="4"/>
  <c r="B19" i="4" s="1"/>
  <c r="D25" i="4"/>
  <c r="B20" i="4" s="1"/>
  <c r="D26" i="4"/>
  <c r="B21" i="4" s="1"/>
  <c r="D27" i="4"/>
  <c r="B22" i="4" s="1"/>
  <c r="D28" i="4"/>
  <c r="B23" i="4" s="1"/>
  <c r="D29" i="4"/>
  <c r="B24" i="4" s="1"/>
  <c r="D30" i="4"/>
  <c r="B25" i="4" s="1"/>
  <c r="D31" i="4"/>
  <c r="B26" i="4" s="1"/>
  <c r="D32" i="4"/>
  <c r="B27" i="4" s="1"/>
  <c r="D33" i="4"/>
  <c r="B28" i="4" s="1"/>
  <c r="D34" i="4"/>
  <c r="B29" i="4" s="1"/>
  <c r="D35" i="4"/>
  <c r="B30" i="4" s="1"/>
  <c r="D36" i="4"/>
  <c r="B31" i="4" s="1"/>
  <c r="D37" i="4"/>
  <c r="B32" i="4" s="1"/>
  <c r="D38" i="4"/>
  <c r="B33" i="4" s="1"/>
  <c r="D39" i="4"/>
  <c r="B34" i="4" s="1"/>
  <c r="D40" i="4"/>
  <c r="B35" i="4" s="1"/>
  <c r="D41" i="4"/>
  <c r="B36" i="4" s="1"/>
  <c r="D42" i="4"/>
  <c r="B37" i="4" s="1"/>
  <c r="D5" i="4"/>
</calcChain>
</file>

<file path=xl/sharedStrings.xml><?xml version="1.0" encoding="utf-8"?>
<sst xmlns="http://schemas.openxmlformats.org/spreadsheetml/2006/main" count="443" uniqueCount="209">
  <si>
    <t>Date</t>
  </si>
  <si>
    <t>PoE</t>
  </si>
  <si>
    <t>Entry screened</t>
  </si>
  <si>
    <t>Exit screened</t>
  </si>
  <si>
    <t>Total screened (only if entry/exit not recorded)</t>
  </si>
  <si>
    <t>Alerts triggered</t>
  </si>
  <si>
    <t>Alerts closed (discarded or referred)</t>
  </si>
  <si>
    <t>Number of bodies moved across the border</t>
  </si>
  <si>
    <t>Notes</t>
  </si>
  <si>
    <t>Nimule</t>
  </si>
  <si>
    <t> </t>
  </si>
  <si>
    <t>Kaya</t>
  </si>
  <si>
    <t>Rei-river port</t>
  </si>
  <si>
    <t>Olikwi</t>
  </si>
  <si>
    <t>border_country</t>
  </si>
  <si>
    <t>state</t>
  </si>
  <si>
    <t>county</t>
  </si>
  <si>
    <t>longitude</t>
  </si>
  <si>
    <t>latitude</t>
  </si>
  <si>
    <t>poe_type</t>
  </si>
  <si>
    <t>Nabanga</t>
  </si>
  <si>
    <t>DRC</t>
  </si>
  <si>
    <t>Western Equatoria</t>
  </si>
  <si>
    <t>Ibba</t>
  </si>
  <si>
    <t>Land</t>
  </si>
  <si>
    <t>Juba International Airport</t>
  </si>
  <si>
    <t>Inland</t>
  </si>
  <si>
    <t>Central Equatoria</t>
  </si>
  <si>
    <t>Juba</t>
  </si>
  <si>
    <t>Airport</t>
  </si>
  <si>
    <t>Litoba</t>
  </si>
  <si>
    <t>Uganda</t>
  </si>
  <si>
    <t>Kajo-Keji</t>
  </si>
  <si>
    <t>Abaya</t>
  </si>
  <si>
    <t>Jalle</t>
  </si>
  <si>
    <t>Kerwa</t>
  </si>
  <si>
    <t>Eastern Equatoria</t>
  </si>
  <si>
    <t>Magwi</t>
  </si>
  <si>
    <t>River port</t>
  </si>
  <si>
    <t>Pogee</t>
  </si>
  <si>
    <t>Lobone</t>
  </si>
  <si>
    <t> Rasul (Landili)</t>
  </si>
  <si>
    <t>Maridi</t>
  </si>
  <si>
    <t>DRC, Uganda</t>
  </si>
  <si>
    <t>Morobo</t>
  </si>
  <si>
    <t>Saliamusala</t>
  </si>
  <si>
    <t>Khor Kaya</t>
  </si>
  <si>
    <t>Bazi</t>
  </si>
  <si>
    <t>Ukaba/Okaba</t>
  </si>
  <si>
    <t>Sangua-1</t>
  </si>
  <si>
    <t>Nzara</t>
  </si>
  <si>
    <t>South Yubu</t>
  </si>
  <si>
    <t>CAR</t>
  </si>
  <si>
    <t>Tambura</t>
  </si>
  <si>
    <t>Nangarangara</t>
  </si>
  <si>
    <t>Nabiapai-Yambio</t>
  </si>
  <si>
    <t>Yambio</t>
  </si>
  <si>
    <t>Yambio Airport</t>
  </si>
  <si>
    <t>Sakure</t>
  </si>
  <si>
    <t>Ombasi</t>
  </si>
  <si>
    <t>Yei River</t>
  </si>
  <si>
    <t>Minyori</t>
  </si>
  <si>
    <t>Garamba</t>
  </si>
  <si>
    <t>Yei Airstrip</t>
  </si>
  <si>
    <t>Lasu</t>
  </si>
  <si>
    <t>Airstrip</t>
  </si>
  <si>
    <t>Libogo</t>
  </si>
  <si>
    <t>Bazikangbi</t>
  </si>
  <si>
    <t>Nabiapai-Ezo</t>
  </si>
  <si>
    <t>DRC, CAR</t>
  </si>
  <si>
    <t>Ezo</t>
  </si>
  <si>
    <t>Wau Airport</t>
  </si>
  <si>
    <t>Western Bahr el Ghazal</t>
  </si>
  <si>
    <t>Wau</t>
  </si>
  <si>
    <t>Sertenya</t>
  </si>
  <si>
    <t>Ikwotos</t>
  </si>
  <si>
    <t>Bira</t>
  </si>
  <si>
    <t>Katire</t>
  </si>
  <si>
    <t>Lofus</t>
  </si>
  <si>
    <t>Nadapal</t>
  </si>
  <si>
    <t>Kenya</t>
  </si>
  <si>
    <t>Kapoeta South</t>
  </si>
  <si>
    <t>Torit Airstrip</t>
  </si>
  <si>
    <t>Torit</t>
  </si>
  <si>
    <t>Budi Airstrip</t>
  </si>
  <si>
    <t>Budi</t>
  </si>
  <si>
    <t>Reporting check – which PoEs have submitted each day</t>
  </si>
  <si>
    <t>First day shown:</t>
  </si>
  <si>
    <t>(defaults to 14 days ago)</t>
  </si>
  <si>
    <t>Days reported (of 14)</t>
  </si>
  <si>
    <t>Last report</t>
  </si>
  <si>
    <t>date</t>
  </si>
  <si>
    <t>main_ground_crossing_nimule_screened_total</t>
  </si>
  <si>
    <t>main_ground_crossing_nimule_alerts_triggered</t>
  </si>
  <si>
    <t>main_ground_crossing_nimule_alerts_discarded</t>
  </si>
  <si>
    <t>kaya_po_e_screened_total</t>
  </si>
  <si>
    <t>kaya_po_e_alerts_triggered</t>
  </si>
  <si>
    <t>kaya_po_e_alerts_discarded</t>
  </si>
  <si>
    <t>olikwi_po_e_nimule_screened_total</t>
  </si>
  <si>
    <t>olikwi_po_e_nimule_alerts_triggered</t>
  </si>
  <si>
    <t>olikwi_po_e_nimule_alerts_discarded</t>
  </si>
  <si>
    <t>rei_river_port_screened_total</t>
  </si>
  <si>
    <t>rei_river_port_alerts_triggered</t>
  </si>
  <si>
    <t>rei_river_port_alerts_discarded</t>
  </si>
  <si>
    <t>Juba_International _Airport_screened_total</t>
  </si>
  <si>
    <t>Juba_International _Airport_alerts_triggered</t>
  </si>
  <si>
    <t>Juba_International _Airport_alerts_discarded</t>
  </si>
  <si>
    <t>Nabanga_land_crossing_screened_total</t>
  </si>
  <si>
    <t>Nabanga_land_crossing_alerts_triggered</t>
  </si>
  <si>
    <t>Nabanga_land_crossing_alerts_discarded</t>
  </si>
  <si>
    <t>Litoba_land_crossing_screened_total</t>
  </si>
  <si>
    <t>Litoba_land_crossing_alerts_triggered</t>
  </si>
  <si>
    <t>Litoba_land_crossing_alerts_discarded</t>
  </si>
  <si>
    <t>Abaya_land_crossing_screened_total</t>
  </si>
  <si>
    <t>Abaya_land_crossing_alerts_triggered</t>
  </si>
  <si>
    <t>Abaya_land_crossing_alerts_discarded</t>
  </si>
  <si>
    <t>Jalle_land_crossing_screened_total</t>
  </si>
  <si>
    <t>Jalle_land_crossing_alerts_triggered</t>
  </si>
  <si>
    <t>Jalle_land_crossing_alerts_discarded</t>
  </si>
  <si>
    <t>Kerwa_land_crossing_screened_total</t>
  </si>
  <si>
    <t>Kerwa_land_crossing_alerts_triggered</t>
  </si>
  <si>
    <t>Kerwa_land_crossing_alerts_discarded</t>
  </si>
  <si>
    <t>Pogee_land_crossing_screened_total</t>
  </si>
  <si>
    <t>Pogee_land_crossing_alerts_triggered</t>
  </si>
  <si>
    <t>Pogee_land_crossing_alerts_discarded</t>
  </si>
  <si>
    <t>Lobone_land_crossing_screened_total</t>
  </si>
  <si>
    <t>Lobone_land_crossing_alerts_triggered</t>
  </si>
  <si>
    <t>Lobone_land_crossing_alerts_discarded</t>
  </si>
  <si>
    <t>Rasul (Landili)_land_crossing_screened_total</t>
  </si>
  <si>
    <t>Rasul (Landili)_land_crossing_alerts_triggered</t>
  </si>
  <si>
    <t>Rasul (Landili)_land_crossing_alerts_discarded</t>
  </si>
  <si>
    <t>Kaya_land_crossing_screened_total</t>
  </si>
  <si>
    <t>Kaya_land_crossing_alerts_triggered</t>
  </si>
  <si>
    <t>Kaya_land_crossing_alerts_discarded</t>
  </si>
  <si>
    <t>Saliamusala_land_crossing_screened_total</t>
  </si>
  <si>
    <t>Saliamusala_land_crossing_alerts_triggered</t>
  </si>
  <si>
    <t>Saliamusala_land_crossing_alerts_discarded</t>
  </si>
  <si>
    <t>Khor Kaya_land_crossing_screened_total</t>
  </si>
  <si>
    <t>Khor Kaya_land_crossing_alerts_triggered</t>
  </si>
  <si>
    <t>Khor Kaya_land_crossing_alerts_discarded</t>
  </si>
  <si>
    <t>Bazi_land_crossing_screened_total</t>
  </si>
  <si>
    <t>Bazi_land_crossing_alerts_triggered</t>
  </si>
  <si>
    <t>Bazi_land_crossing_alerts_discarded</t>
  </si>
  <si>
    <t>Ukaba/Okaba_land_crossing_screened_total</t>
  </si>
  <si>
    <t>Ukaba/Okaba_land_crossing_alerts_triggered</t>
  </si>
  <si>
    <t>Ukaba/Okaba_land_crossing_alerts_discarded</t>
  </si>
  <si>
    <t>Sangua-1_land_crossing_screened_total</t>
  </si>
  <si>
    <t>Sangua-1_land_crossing_alerts_triggered</t>
  </si>
  <si>
    <t>Sangua-1_land_crossing_alerts_discarded</t>
  </si>
  <si>
    <t>South Yubu_land_crossing_screened_total</t>
  </si>
  <si>
    <t>South Yubu_land_crossing_alerts_triggered</t>
  </si>
  <si>
    <t>South Yubu_land_crossing_alerts_discarded</t>
  </si>
  <si>
    <t>Nangarangara_land_crossing_screened_total</t>
  </si>
  <si>
    <t>Nangarangara_land_crossing_alerts_triggered</t>
  </si>
  <si>
    <t>Nangarangara_land_crossing_alerts_discarded</t>
  </si>
  <si>
    <t>Nabiapai-Yambio_land_crossing_screened_total</t>
  </si>
  <si>
    <t>Nabiapai-Yambio_land_crossing_alerts_triggered</t>
  </si>
  <si>
    <t>Nabiapai-Yambio_land_crossing_alerts_discarded</t>
  </si>
  <si>
    <t>Yambio_Airport_screened_total</t>
  </si>
  <si>
    <t>Yambio_Airport_alerts_triggered</t>
  </si>
  <si>
    <t>Yambio_Airport_alerts_discarded</t>
  </si>
  <si>
    <t>Sakure_land_crossing_screened_total</t>
  </si>
  <si>
    <t>Sakure_land_crossing_alerts_triggered</t>
  </si>
  <si>
    <t>Sakure_land_crossing_alerts_discarded</t>
  </si>
  <si>
    <t>Ombasi_land_crossing_screened_total</t>
  </si>
  <si>
    <t>Ombasi_land_crossing_alerts_triggered</t>
  </si>
  <si>
    <t>Ombasi_land_crossing_alerts_discarded</t>
  </si>
  <si>
    <t>Minyori_land_crossing_screened_total</t>
  </si>
  <si>
    <t>Minyori_land_crossing_alerts_triggered</t>
  </si>
  <si>
    <t>Minyori_land_crossing_alerts_discarded</t>
  </si>
  <si>
    <t>Garamba_land_crossing_screened_total</t>
  </si>
  <si>
    <t>Garamba_land_crossing_alerts_triggered</t>
  </si>
  <si>
    <t>Garamba_land_crossing_alerts_discarded</t>
  </si>
  <si>
    <t>Yei_Airport_screened_total</t>
  </si>
  <si>
    <t>Yei_Airport_alerts_triggered</t>
  </si>
  <si>
    <t>Yei_Airport_alerts_discarded</t>
  </si>
  <si>
    <t>Lasu-Libogo_land_crossing_screened_total</t>
  </si>
  <si>
    <t>Lasu-Libogo_land_crossing_alerts_triggered</t>
  </si>
  <si>
    <t>Lasu-Libogo_land_crossing_alerts_discarded</t>
  </si>
  <si>
    <t>Bazikangbi_land_crossing_screened_total</t>
  </si>
  <si>
    <t>Bazikangbi_land_crossing_alerts_triggered</t>
  </si>
  <si>
    <t>Bazikangbi_land_crossing_alerts_discarded</t>
  </si>
  <si>
    <t>Nabiapai-Ezo_land_crossing_screened_total</t>
  </si>
  <si>
    <t>Nabiapai-Ezo_land_crossing_alerts_triggered</t>
  </si>
  <si>
    <t>Nabiapai-Ezo_land_crossing_alerts_discarded</t>
  </si>
  <si>
    <t>Wau_Airport_screened_total</t>
  </si>
  <si>
    <t>Wau_Airport_alerts_triggered</t>
  </si>
  <si>
    <t>Wau_Airport_alerts_discarded</t>
  </si>
  <si>
    <t>Sertenya_land_crossing_screened_total</t>
  </si>
  <si>
    <t>Sertenya_land_crossing_alerts_triggered</t>
  </si>
  <si>
    <t>Sertenya_land_crossing_alerts_discarded</t>
  </si>
  <si>
    <t>Bira_land_crossing_screened_total</t>
  </si>
  <si>
    <t>Bira_land_crossing_alerts_triggered</t>
  </si>
  <si>
    <t>Bira_land_crossing_alerts_discarded</t>
  </si>
  <si>
    <t>Katire_land_crossing_screened_total</t>
  </si>
  <si>
    <t>Katire_land_crossing_alerts_triggered</t>
  </si>
  <si>
    <t>Katire_land_crossing_alerts_discarded</t>
  </si>
  <si>
    <t>Lofus_land_crossing_screened_total</t>
  </si>
  <si>
    <t>Lofus_land_crossing_alerts_triggered</t>
  </si>
  <si>
    <t>Lofus_land_crossing_alerts_discarded</t>
  </si>
  <si>
    <t>Nadapal_land_crossing_screened_total</t>
  </si>
  <si>
    <t>Nadapal_land_crossing_alerts_triggered</t>
  </si>
  <si>
    <t>Nadapal_land_crossing_alerts_discarded</t>
  </si>
  <si>
    <t>Torit_Airstrip_screened_total</t>
  </si>
  <si>
    <t>Torit_Airstrip_alerts_triggered</t>
  </si>
  <si>
    <t>Torit_Airstrip_alerts_discarded</t>
  </si>
  <si>
    <t>Budi_Airstrip_screened_total</t>
  </si>
  <si>
    <t>Budi_Airstrip_alerts_triggered</t>
  </si>
  <si>
    <t>Budi_Airstrip_alerts_discarded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</si>
</sst>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9">
    <font>
      <sz val="11"/>
      <color rgb="FF000000"/>
      <name val="Calibri"/>
      <family val="2"/>
      <scheme val="minor"/>
    </font>
    <font>
      <b/>
      <sz val="11"/>
      <color rgb="FFFFFFFF"/>
      <name val="Arial"/>
      <family val="2"/>
      <charset val="1"/>
    </font>
    <font>
      <sz val="11"/>
      <name val="Arial"/>
      <family val="2"/>
      <charset val="1"/>
    </font>
    <font>
      <sz val="11"/>
      <color rgb="FF9C0006"/>
      <name val="Arial"/>
      <family val="2"/>
      <charset val="1"/>
    </font>
    <font>
      <b/>
      <sz val="11"/>
      <name val="Arial"/>
      <family val="2"/>
      <charset val="1"/>
    </font>
    <font>
      <b/>
      <sz val="14"/>
      <color rgb="FF16365C"/>
      <name val="Arial"/>
      <family val="2"/>
      <charset val="1"/>
    </font>
    <font>
      <i/>
      <sz val="11"/>
      <color rgb="FF595959"/>
      <name val="Arial"/>
      <family val="2"/>
      <charset val="1"/>
    </font>
    <font>
      <sz val="12"/>
      <color rgb="FF000000"/>
      <name val="Aptos Narrow"/>
      <family val="2"/>
      <charset val="1"/>
    </font>
    <font>
      <b/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16365C"/>
        <bgColor indexed="64"/>
      </patternFill>
    </fill>
    <fill>
      <patternFill patternType="solid">
        <fgColor rgb="FFFFF9DB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3" borderId="4" xfId="0" applyFont="1" applyFill="1" applyBorder="1"/>
    <xf numFmtId="0" fontId="2" fillId="0" borderId="4" xfId="0" applyFont="1" applyBorder="1"/>
    <xf numFmtId="0" fontId="3" fillId="4" borderId="1" xfId="0" applyFont="1" applyFill="1" applyBorder="1"/>
    <xf numFmtId="0" fontId="4" fillId="0" borderId="0" xfId="0" applyFont="1"/>
    <xf numFmtId="0" fontId="4" fillId="0" borderId="3" xfId="0" applyFont="1" applyBorder="1"/>
    <xf numFmtId="0" fontId="4" fillId="0" borderId="4" xfId="0" applyFont="1" applyBorder="1"/>
    <xf numFmtId="0" fontId="6" fillId="0" borderId="0" xfId="0" applyFont="1"/>
    <xf numFmtId="14" fontId="2" fillId="3" borderId="0" xfId="0" applyNumberFormat="1" applyFont="1" applyFill="1"/>
    <xf numFmtId="14" fontId="1" fillId="2" borderId="2" xfId="0" applyNumberFormat="1" applyFont="1" applyFill="1" applyBorder="1" applyAlignment="1">
      <alignment wrapText="1"/>
    </xf>
    <xf numFmtId="14" fontId="0" fillId="0" borderId="0" xfId="0" applyNumberFormat="1"/>
    <xf numFmtId="3" fontId="2" fillId="3" borderId="4" xfId="0" applyNumberFormat="1" applyFont="1" applyFill="1" applyBorder="1"/>
    <xf numFmtId="164" fontId="1" fillId="2" borderId="1" xfId="0" applyNumberFormat="1" applyFont="1" applyFill="1" applyBorder="1" applyAlignment="1">
      <alignment wrapText="1"/>
    </xf>
    <xf numFmtId="164" fontId="2" fillId="3" borderId="3" xfId="0" applyNumberFormat="1" applyFont="1" applyFill="1" applyBorder="1"/>
    <xf numFmtId="164" fontId="0" fillId="0" borderId="0" xfId="0" applyNumberFormat="1"/>
    <xf numFmtId="0" fontId="7" fillId="0" borderId="0" xfId="0" applyFont="1"/>
    <xf numFmtId="3" fontId="8" fillId="0" borderId="0" xfId="0" applyNumberFormat="1" applyFo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C3930-729D-4F42-A839-64AD1F83314C}">
  <sheetPr>
    <tabColor rgb="FFFFC000"/>
  </sheetPr>
  <dimension ref="A1:I180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5"/>
  <cols>
    <col min="1" max="1" width="20" style="16" customWidth="1"/>
    <col min="2" max="2" width="26.5703125" customWidth="1"/>
    <col min="3" max="3" width="14.85546875" customWidth="1"/>
    <col min="4" max="5" width="12.7109375" customWidth="1"/>
    <col min="6" max="6" width="12.42578125" customWidth="1"/>
    <col min="7" max="7" width="12.7109375" customWidth="1"/>
    <col min="8" max="8" width="32" customWidth="1"/>
    <col min="9" max="9" width="34.140625" customWidth="1"/>
  </cols>
  <sheetData>
    <row r="1" spans="1:9" ht="85.5">
      <c r="A1" s="1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5">
        <v>46295</v>
      </c>
      <c r="B2" s="3" t="s">
        <v>9</v>
      </c>
      <c r="C2" s="3">
        <v>12269</v>
      </c>
      <c r="D2" s="13">
        <v>8969</v>
      </c>
      <c r="E2" s="13"/>
      <c r="F2" s="3">
        <v>0</v>
      </c>
      <c r="G2" s="3">
        <v>0</v>
      </c>
      <c r="H2" s="3">
        <v>0</v>
      </c>
      <c r="I2" s="3" t="s">
        <v>10</v>
      </c>
    </row>
    <row r="3" spans="1:9">
      <c r="A3" s="15">
        <v>46295</v>
      </c>
      <c r="B3" s="3" t="s">
        <v>11</v>
      </c>
      <c r="C3" s="3" t="s">
        <v>10</v>
      </c>
      <c r="D3" s="3" t="s">
        <v>10</v>
      </c>
      <c r="E3" s="13">
        <v>4435</v>
      </c>
      <c r="F3" s="3">
        <v>0</v>
      </c>
      <c r="G3" s="3">
        <v>0</v>
      </c>
      <c r="H3" s="3">
        <v>0</v>
      </c>
      <c r="I3" s="3" t="s">
        <v>10</v>
      </c>
    </row>
    <row r="4" spans="1:9">
      <c r="A4" s="15">
        <v>46295</v>
      </c>
      <c r="B4" s="3" t="s">
        <v>12</v>
      </c>
      <c r="C4" s="3" t="s">
        <v>10</v>
      </c>
      <c r="D4" s="3" t="s">
        <v>10</v>
      </c>
      <c r="E4" s="13">
        <v>610</v>
      </c>
      <c r="F4" s="3">
        <v>0</v>
      </c>
      <c r="G4" s="3">
        <v>0</v>
      </c>
      <c r="H4" s="3">
        <v>0</v>
      </c>
      <c r="I4" s="3" t="s">
        <v>10</v>
      </c>
    </row>
    <row r="5" spans="1:9">
      <c r="A5" s="15">
        <v>46295</v>
      </c>
      <c r="B5" s="3" t="s">
        <v>13</v>
      </c>
      <c r="C5" s="3" t="s">
        <v>10</v>
      </c>
      <c r="D5" s="3" t="s">
        <v>10</v>
      </c>
      <c r="E5" s="13">
        <v>1326</v>
      </c>
      <c r="F5" s="3">
        <v>0</v>
      </c>
      <c r="G5" s="3">
        <v>0</v>
      </c>
      <c r="H5" s="3">
        <v>0</v>
      </c>
      <c r="I5" s="3" t="s">
        <v>10</v>
      </c>
    </row>
    <row r="6" spans="1:9">
      <c r="A6" s="15">
        <v>46296</v>
      </c>
      <c r="B6" s="3" t="s">
        <v>9</v>
      </c>
      <c r="C6" s="3">
        <v>10425</v>
      </c>
      <c r="D6" s="3">
        <v>0</v>
      </c>
      <c r="E6" s="13"/>
      <c r="F6" s="3">
        <v>0</v>
      </c>
      <c r="G6" s="3">
        <v>0</v>
      </c>
      <c r="H6" s="3">
        <v>0</v>
      </c>
      <c r="I6" s="3" t="s">
        <v>10</v>
      </c>
    </row>
    <row r="7" spans="1:9">
      <c r="A7" s="15">
        <v>46296</v>
      </c>
      <c r="B7" s="3" t="s">
        <v>11</v>
      </c>
      <c r="C7" s="3" t="s">
        <v>10</v>
      </c>
      <c r="D7" s="3" t="s">
        <v>10</v>
      </c>
      <c r="E7" s="13">
        <v>2880</v>
      </c>
      <c r="F7" s="3">
        <v>0</v>
      </c>
      <c r="G7" s="3">
        <v>0</v>
      </c>
      <c r="H7" s="3">
        <v>0</v>
      </c>
      <c r="I7" s="3" t="s">
        <v>10</v>
      </c>
    </row>
    <row r="8" spans="1:9">
      <c r="A8" s="15">
        <v>46296</v>
      </c>
      <c r="B8" s="3" t="s">
        <v>12</v>
      </c>
      <c r="C8" s="3" t="s">
        <v>10</v>
      </c>
      <c r="D8" s="3" t="s">
        <v>10</v>
      </c>
      <c r="E8" s="13">
        <v>555</v>
      </c>
      <c r="F8" s="3" t="s">
        <v>10</v>
      </c>
      <c r="G8" s="3" t="s">
        <v>10</v>
      </c>
      <c r="H8" s="3" t="s">
        <v>10</v>
      </c>
      <c r="I8" s="3" t="s">
        <v>10</v>
      </c>
    </row>
    <row r="9" spans="1:9">
      <c r="A9" s="15">
        <v>46296</v>
      </c>
      <c r="B9" s="3" t="s">
        <v>13</v>
      </c>
      <c r="C9" s="3" t="s">
        <v>10</v>
      </c>
      <c r="D9" s="3" t="s">
        <v>10</v>
      </c>
      <c r="E9" s="13">
        <v>1345</v>
      </c>
      <c r="F9" s="3">
        <v>0</v>
      </c>
      <c r="G9" s="3">
        <v>0</v>
      </c>
      <c r="H9" s="3">
        <v>0</v>
      </c>
      <c r="I9" s="3" t="s">
        <v>10</v>
      </c>
    </row>
    <row r="10" spans="1:9">
      <c r="A10" s="15">
        <v>46297</v>
      </c>
      <c r="B10" s="3" t="s">
        <v>9</v>
      </c>
      <c r="C10" s="3">
        <v>11583</v>
      </c>
      <c r="D10" s="3">
        <v>9708</v>
      </c>
      <c r="E10" s="13"/>
      <c r="F10" s="3">
        <v>0</v>
      </c>
      <c r="G10" s="3">
        <v>0</v>
      </c>
      <c r="H10" s="3">
        <v>0</v>
      </c>
      <c r="I10" s="3" t="s">
        <v>10</v>
      </c>
    </row>
    <row r="11" spans="1:9">
      <c r="A11" s="15">
        <v>46297</v>
      </c>
      <c r="B11" s="3" t="s">
        <v>11</v>
      </c>
      <c r="C11" s="3" t="s">
        <v>10</v>
      </c>
      <c r="D11" s="3" t="s">
        <v>10</v>
      </c>
      <c r="E11" s="13">
        <v>6820</v>
      </c>
      <c r="F11" s="3">
        <v>0</v>
      </c>
      <c r="G11" s="3">
        <v>0</v>
      </c>
      <c r="H11" s="3">
        <v>0</v>
      </c>
      <c r="I11" s="3" t="s">
        <v>10</v>
      </c>
    </row>
    <row r="12" spans="1:9">
      <c r="A12" s="15">
        <v>46297</v>
      </c>
      <c r="B12" s="3" t="s">
        <v>12</v>
      </c>
      <c r="C12" s="3" t="s">
        <v>10</v>
      </c>
      <c r="D12" s="3" t="s">
        <v>10</v>
      </c>
      <c r="E12" s="13">
        <v>570</v>
      </c>
      <c r="F12" s="3">
        <v>0</v>
      </c>
      <c r="G12" s="3">
        <v>0</v>
      </c>
      <c r="H12" s="3">
        <v>0</v>
      </c>
      <c r="I12" s="3" t="s">
        <v>10</v>
      </c>
    </row>
    <row r="13" spans="1:9">
      <c r="A13" s="15">
        <v>46297</v>
      </c>
      <c r="B13" s="3" t="s">
        <v>13</v>
      </c>
      <c r="C13" s="3" t="s">
        <v>10</v>
      </c>
      <c r="D13" s="3" t="s">
        <v>10</v>
      </c>
      <c r="E13" s="13">
        <v>1178</v>
      </c>
      <c r="F13" s="3">
        <v>0</v>
      </c>
      <c r="G13" s="3">
        <v>0</v>
      </c>
      <c r="H13" s="3">
        <v>0</v>
      </c>
      <c r="I13" s="3" t="s">
        <v>10</v>
      </c>
    </row>
    <row r="14" spans="1:9">
      <c r="A14" s="15">
        <v>46298</v>
      </c>
      <c r="B14" s="3" t="s">
        <v>9</v>
      </c>
      <c r="C14" s="3">
        <v>11358</v>
      </c>
      <c r="D14" s="3">
        <v>11106</v>
      </c>
      <c r="E14" s="13"/>
      <c r="F14" s="3">
        <v>0</v>
      </c>
      <c r="G14" s="3">
        <v>0</v>
      </c>
      <c r="H14" s="3">
        <v>0</v>
      </c>
      <c r="I14" s="3"/>
    </row>
    <row r="15" spans="1:9">
      <c r="A15" s="15">
        <v>46298</v>
      </c>
      <c r="B15" s="3" t="s">
        <v>11</v>
      </c>
      <c r="C15" s="3"/>
      <c r="D15" s="3"/>
      <c r="E15" s="13">
        <v>2695</v>
      </c>
      <c r="F15" s="3">
        <v>0</v>
      </c>
      <c r="G15" s="3">
        <v>0</v>
      </c>
      <c r="H15" s="3">
        <v>0</v>
      </c>
      <c r="I15" s="3"/>
    </row>
    <row r="16" spans="1:9">
      <c r="A16" s="15">
        <v>46298</v>
      </c>
      <c r="B16" s="3" t="s">
        <v>13</v>
      </c>
      <c r="C16" s="3"/>
      <c r="D16" s="3"/>
      <c r="E16" s="13">
        <v>1408</v>
      </c>
      <c r="F16" s="3">
        <v>0</v>
      </c>
      <c r="G16" s="3">
        <v>0</v>
      </c>
      <c r="H16" s="3">
        <v>0</v>
      </c>
      <c r="I16" s="3"/>
    </row>
    <row r="17" spans="1:9">
      <c r="A17" s="15">
        <v>46298</v>
      </c>
      <c r="B17" s="3" t="s">
        <v>12</v>
      </c>
      <c r="C17" s="3"/>
      <c r="D17" s="3"/>
      <c r="E17" s="13">
        <v>545</v>
      </c>
      <c r="F17" s="3">
        <v>0</v>
      </c>
      <c r="G17" s="3">
        <v>0</v>
      </c>
      <c r="H17" s="3">
        <v>0</v>
      </c>
      <c r="I17" s="3"/>
    </row>
    <row r="18" spans="1:9">
      <c r="A18" s="15">
        <v>46299</v>
      </c>
      <c r="B18" s="3" t="s">
        <v>11</v>
      </c>
      <c r="C18" s="3"/>
      <c r="D18" s="3"/>
      <c r="E18" s="13">
        <v>2880</v>
      </c>
      <c r="F18" s="3">
        <v>0</v>
      </c>
      <c r="G18" s="3">
        <v>0</v>
      </c>
      <c r="H18" s="3">
        <v>0</v>
      </c>
      <c r="I18" s="3"/>
    </row>
    <row r="19" spans="1:9">
      <c r="A19" s="15">
        <v>46299</v>
      </c>
      <c r="B19" s="3" t="s">
        <v>12</v>
      </c>
      <c r="C19" s="3"/>
      <c r="D19" s="3"/>
      <c r="E19" s="13">
        <v>555</v>
      </c>
      <c r="F19" s="3">
        <v>0</v>
      </c>
      <c r="G19" s="3">
        <v>0</v>
      </c>
      <c r="H19" s="3">
        <v>0</v>
      </c>
      <c r="I19" s="3"/>
    </row>
    <row r="20" spans="1:9">
      <c r="A20" s="15">
        <v>46299</v>
      </c>
      <c r="B20" s="3" t="s">
        <v>13</v>
      </c>
      <c r="C20" s="3"/>
      <c r="D20" s="3"/>
      <c r="E20" s="13">
        <v>1345</v>
      </c>
      <c r="F20" s="3">
        <v>0</v>
      </c>
      <c r="G20" s="3">
        <v>0</v>
      </c>
      <c r="H20" s="3">
        <v>0</v>
      </c>
      <c r="I20" s="3"/>
    </row>
    <row r="21" spans="1:9">
      <c r="A21" s="15">
        <v>46299</v>
      </c>
      <c r="B21" s="3" t="s">
        <v>9</v>
      </c>
      <c r="C21" s="3">
        <v>10425</v>
      </c>
      <c r="D21" s="3">
        <v>0</v>
      </c>
      <c r="E21" s="13"/>
      <c r="F21" s="3">
        <v>0</v>
      </c>
      <c r="G21" s="3">
        <v>0</v>
      </c>
      <c r="H21" s="3">
        <v>0</v>
      </c>
      <c r="I21" s="3"/>
    </row>
    <row r="22" spans="1:9">
      <c r="A22" s="15">
        <v>46300</v>
      </c>
      <c r="B22" s="3" t="s">
        <v>9</v>
      </c>
      <c r="C22" s="3">
        <v>11867</v>
      </c>
      <c r="D22" s="3">
        <v>0</v>
      </c>
      <c r="E22" s="13"/>
      <c r="F22" s="3">
        <v>0</v>
      </c>
      <c r="G22" s="3">
        <v>0</v>
      </c>
      <c r="H22" s="3">
        <v>0</v>
      </c>
      <c r="I22" s="3"/>
    </row>
    <row r="23" spans="1:9">
      <c r="A23" s="15">
        <v>46300</v>
      </c>
      <c r="B23" s="3" t="s">
        <v>11</v>
      </c>
      <c r="C23" s="3"/>
      <c r="D23" s="3"/>
      <c r="E23" s="13">
        <v>2318</v>
      </c>
      <c r="F23" s="3">
        <v>0</v>
      </c>
      <c r="G23" s="3">
        <v>0</v>
      </c>
      <c r="H23" s="3">
        <v>0</v>
      </c>
      <c r="I23" s="3"/>
    </row>
    <row r="24" spans="1:9">
      <c r="A24" s="15">
        <v>46300</v>
      </c>
      <c r="B24" s="3" t="s">
        <v>12</v>
      </c>
      <c r="C24" s="3"/>
      <c r="D24" s="3"/>
      <c r="E24" s="13">
        <v>572</v>
      </c>
      <c r="F24" s="3">
        <v>0</v>
      </c>
      <c r="G24" s="3">
        <v>0</v>
      </c>
      <c r="H24" s="3">
        <v>0</v>
      </c>
      <c r="I24" s="3"/>
    </row>
    <row r="25" spans="1:9">
      <c r="A25" s="15">
        <v>46300</v>
      </c>
      <c r="B25" s="3" t="s">
        <v>13</v>
      </c>
      <c r="C25" s="3"/>
      <c r="D25" s="3"/>
      <c r="E25" s="13">
        <v>1375</v>
      </c>
      <c r="F25" s="3">
        <v>0</v>
      </c>
      <c r="G25" s="3">
        <v>0</v>
      </c>
      <c r="H25" s="3">
        <v>0</v>
      </c>
      <c r="I25" s="3"/>
    </row>
    <row r="26" spans="1:9">
      <c r="A26" s="15">
        <v>46301</v>
      </c>
      <c r="B26" s="3" t="s">
        <v>11</v>
      </c>
      <c r="C26" s="3"/>
      <c r="D26" s="3"/>
      <c r="E26" s="13">
        <v>2830</v>
      </c>
      <c r="F26" s="3">
        <v>0</v>
      </c>
      <c r="G26" s="3">
        <v>0</v>
      </c>
      <c r="H26" s="3">
        <v>0</v>
      </c>
      <c r="I26" s="3"/>
    </row>
    <row r="27" spans="1:9">
      <c r="A27" s="15">
        <v>46301</v>
      </c>
      <c r="B27" s="3" t="s">
        <v>12</v>
      </c>
      <c r="C27" s="3"/>
      <c r="D27" s="3"/>
      <c r="E27" s="13">
        <v>569</v>
      </c>
      <c r="F27" s="3">
        <v>0</v>
      </c>
      <c r="G27" s="3">
        <v>0</v>
      </c>
      <c r="H27" s="3">
        <v>0</v>
      </c>
      <c r="I27" s="3"/>
    </row>
    <row r="28" spans="1:9">
      <c r="A28" s="15">
        <v>46301</v>
      </c>
      <c r="B28" s="3" t="s">
        <v>13</v>
      </c>
      <c r="C28" s="3"/>
      <c r="D28" s="3"/>
      <c r="E28" s="13">
        <v>1185</v>
      </c>
      <c r="F28" s="3">
        <v>0</v>
      </c>
      <c r="G28" s="3">
        <v>0</v>
      </c>
      <c r="H28" s="3">
        <v>0</v>
      </c>
      <c r="I28" s="3"/>
    </row>
    <row r="29" spans="1:9">
      <c r="A29" s="15">
        <v>46301</v>
      </c>
      <c r="B29" s="3" t="s">
        <v>9</v>
      </c>
      <c r="C29" s="3">
        <v>11867</v>
      </c>
      <c r="D29" s="3">
        <v>8173</v>
      </c>
      <c r="E29" s="13"/>
      <c r="F29" s="3">
        <v>0</v>
      </c>
      <c r="G29" s="3">
        <v>0</v>
      </c>
      <c r="H29" s="3">
        <v>0</v>
      </c>
      <c r="I29" s="3"/>
    </row>
    <row r="30" spans="1:9">
      <c r="A30" s="15">
        <v>46302</v>
      </c>
      <c r="B30" s="3" t="s">
        <v>9</v>
      </c>
      <c r="C30" s="18">
        <v>11378</v>
      </c>
      <c r="D30" s="3">
        <v>7670</v>
      </c>
      <c r="E30" s="13"/>
      <c r="F30" s="3">
        <v>0</v>
      </c>
      <c r="G30" s="3">
        <v>0</v>
      </c>
      <c r="H30" s="3">
        <v>0</v>
      </c>
      <c r="I30" s="3"/>
    </row>
    <row r="31" spans="1:9">
      <c r="A31" s="15">
        <v>46302</v>
      </c>
      <c r="B31" s="3" t="s">
        <v>11</v>
      </c>
      <c r="C31" s="3"/>
      <c r="D31" s="3"/>
      <c r="E31" s="13">
        <v>2830</v>
      </c>
      <c r="F31" s="3">
        <v>0</v>
      </c>
      <c r="G31" s="3">
        <v>0</v>
      </c>
      <c r="H31" s="3">
        <v>0</v>
      </c>
      <c r="I31" s="3"/>
    </row>
    <row r="32" spans="1:9">
      <c r="A32" s="15">
        <v>46302</v>
      </c>
      <c r="B32" s="3" t="s">
        <v>13</v>
      </c>
      <c r="C32" s="3"/>
      <c r="D32" s="3"/>
      <c r="E32" s="13">
        <v>1185</v>
      </c>
      <c r="F32" s="3">
        <v>0</v>
      </c>
      <c r="G32" s="3">
        <v>0</v>
      </c>
      <c r="H32" s="3">
        <v>0</v>
      </c>
      <c r="I32" s="3"/>
    </row>
    <row r="33" spans="1:9">
      <c r="A33" s="15">
        <v>46302</v>
      </c>
      <c r="B33" s="3" t="s">
        <v>12</v>
      </c>
      <c r="C33" s="3"/>
      <c r="D33" s="3"/>
      <c r="E33" s="13">
        <v>569</v>
      </c>
      <c r="F33" s="3">
        <v>0</v>
      </c>
      <c r="G33" s="3">
        <v>0</v>
      </c>
      <c r="H33" s="3">
        <v>0</v>
      </c>
      <c r="I33" s="3"/>
    </row>
    <row r="34" spans="1:9">
      <c r="A34" s="15">
        <v>46303</v>
      </c>
      <c r="B34" s="3" t="s">
        <v>11</v>
      </c>
      <c r="C34" s="3"/>
      <c r="D34" s="3"/>
      <c r="E34" s="13">
        <v>2540</v>
      </c>
      <c r="F34" s="3">
        <v>0</v>
      </c>
      <c r="G34" s="3">
        <v>0</v>
      </c>
      <c r="H34" s="3">
        <v>0</v>
      </c>
      <c r="I34" s="3"/>
    </row>
    <row r="35" spans="1:9">
      <c r="A35" s="15">
        <v>46303</v>
      </c>
      <c r="B35" s="3" t="s">
        <v>12</v>
      </c>
      <c r="C35" s="3"/>
      <c r="D35" s="3"/>
      <c r="E35" s="13">
        <v>588</v>
      </c>
      <c r="F35" s="3">
        <v>0</v>
      </c>
      <c r="G35" s="3">
        <v>0</v>
      </c>
      <c r="H35" s="3">
        <v>0</v>
      </c>
      <c r="I35" s="3"/>
    </row>
    <row r="36" spans="1:9">
      <c r="A36" s="15">
        <v>46303</v>
      </c>
      <c r="B36" s="3" t="s">
        <v>13</v>
      </c>
      <c r="C36" s="3"/>
      <c r="D36" s="3"/>
      <c r="E36" s="13">
        <v>1305</v>
      </c>
      <c r="F36" s="3">
        <v>0</v>
      </c>
      <c r="G36" s="3">
        <v>0</v>
      </c>
      <c r="H36" s="3">
        <v>0</v>
      </c>
      <c r="I36" s="3"/>
    </row>
    <row r="37" spans="1:9">
      <c r="A37" s="15">
        <v>46303</v>
      </c>
      <c r="B37" s="3" t="s">
        <v>9</v>
      </c>
      <c r="C37" s="3">
        <v>11792</v>
      </c>
      <c r="D37" s="3">
        <v>8178</v>
      </c>
      <c r="E37" s="13"/>
      <c r="F37" s="3">
        <v>0</v>
      </c>
      <c r="G37" s="3">
        <v>0</v>
      </c>
      <c r="H37" s="3">
        <v>0</v>
      </c>
      <c r="I37" s="3"/>
    </row>
    <row r="38" spans="1:9">
      <c r="A38" s="15"/>
      <c r="B38" s="3"/>
      <c r="C38" s="3"/>
      <c r="D38" s="3"/>
      <c r="E38" s="13"/>
      <c r="F38" s="3"/>
      <c r="G38" s="3"/>
      <c r="H38" s="3"/>
      <c r="I38" s="3"/>
    </row>
    <row r="39" spans="1:9">
      <c r="A39" s="15"/>
      <c r="B39" s="3"/>
      <c r="C39" s="3"/>
      <c r="D39" s="3"/>
      <c r="E39" s="13"/>
      <c r="F39" s="3"/>
      <c r="G39" s="3"/>
      <c r="H39" s="3"/>
      <c r="I39" s="3"/>
    </row>
    <row r="40" spans="1:9">
      <c r="A40" s="15"/>
      <c r="B40" s="3"/>
      <c r="C40" s="3"/>
      <c r="D40" s="3"/>
      <c r="E40" s="13"/>
      <c r="F40" s="3"/>
      <c r="G40" s="3"/>
      <c r="H40" s="3"/>
      <c r="I40" s="3"/>
    </row>
    <row r="41" spans="1:9">
      <c r="A41" s="15"/>
      <c r="B41" s="3"/>
      <c r="C41" s="3"/>
      <c r="D41" s="3"/>
      <c r="E41" s="13"/>
      <c r="F41" s="3"/>
      <c r="G41" s="3"/>
      <c r="H41" s="3"/>
      <c r="I41" s="3"/>
    </row>
    <row r="42" spans="1:9">
      <c r="A42" s="15"/>
      <c r="B42" s="3"/>
      <c r="C42" s="3"/>
      <c r="D42" s="3"/>
      <c r="E42" s="13"/>
      <c r="F42" s="3"/>
      <c r="G42" s="3"/>
      <c r="H42" s="3"/>
      <c r="I42" s="3"/>
    </row>
    <row r="43" spans="1:9">
      <c r="A43" s="15"/>
      <c r="B43" s="3"/>
      <c r="C43" s="3"/>
      <c r="D43" s="3"/>
      <c r="E43" s="13"/>
      <c r="F43" s="3"/>
      <c r="G43" s="3"/>
      <c r="H43" s="3"/>
      <c r="I43" s="3"/>
    </row>
    <row r="44" spans="1:9">
      <c r="A44" s="15"/>
      <c r="B44" s="3"/>
      <c r="C44" s="3"/>
      <c r="D44" s="3"/>
      <c r="E44" s="13"/>
      <c r="F44" s="3"/>
      <c r="G44" s="3"/>
      <c r="H44" s="3"/>
      <c r="I44" s="3"/>
    </row>
    <row r="45" spans="1:9">
      <c r="A45" s="15"/>
      <c r="B45" s="3"/>
      <c r="C45" s="3"/>
      <c r="D45" s="3"/>
      <c r="E45" s="13"/>
      <c r="F45" s="3"/>
      <c r="G45" s="3"/>
      <c r="H45" s="3"/>
      <c r="I45" s="3"/>
    </row>
    <row r="46" spans="1:9">
      <c r="A46" s="15"/>
      <c r="B46" s="3"/>
      <c r="C46" s="3"/>
      <c r="D46" s="3"/>
      <c r="E46" s="13"/>
      <c r="F46" s="3"/>
      <c r="G46" s="3"/>
      <c r="H46" s="3"/>
      <c r="I46" s="3"/>
    </row>
    <row r="47" spans="1:9">
      <c r="A47" s="15"/>
      <c r="B47" s="3"/>
      <c r="C47" s="3"/>
      <c r="D47" s="3"/>
      <c r="E47" s="13"/>
      <c r="F47" s="3"/>
      <c r="G47" s="3"/>
      <c r="H47" s="3"/>
      <c r="I47" s="3"/>
    </row>
    <row r="48" spans="1:9">
      <c r="A48" s="15"/>
      <c r="B48" s="3"/>
      <c r="C48" s="3"/>
      <c r="D48" s="3"/>
      <c r="E48" s="13"/>
      <c r="F48" s="3"/>
      <c r="G48" s="3"/>
      <c r="H48" s="3"/>
      <c r="I48" s="3"/>
    </row>
    <row r="49" spans="1:9">
      <c r="A49" s="15"/>
      <c r="B49" s="3"/>
      <c r="C49" s="3"/>
      <c r="D49" s="3"/>
      <c r="E49" s="13"/>
      <c r="F49" s="3"/>
      <c r="G49" s="3"/>
      <c r="H49" s="3"/>
      <c r="I49" s="3"/>
    </row>
    <row r="50" spans="1:9">
      <c r="A50" s="15"/>
      <c r="B50" s="3"/>
      <c r="C50" s="3"/>
      <c r="D50" s="3"/>
      <c r="E50" s="13"/>
      <c r="F50" s="3"/>
      <c r="G50" s="3"/>
      <c r="H50" s="3"/>
      <c r="I50" s="3"/>
    </row>
    <row r="51" spans="1:9">
      <c r="A51" s="15"/>
      <c r="B51" s="3"/>
      <c r="C51" s="3"/>
      <c r="D51" s="3"/>
      <c r="E51" s="13"/>
      <c r="F51" s="3"/>
      <c r="G51" s="3"/>
      <c r="H51" s="3"/>
      <c r="I51" s="3"/>
    </row>
    <row r="52" spans="1:9">
      <c r="A52" s="15"/>
      <c r="B52" s="3"/>
      <c r="C52" s="3"/>
      <c r="D52" s="3"/>
      <c r="E52" s="13"/>
      <c r="F52" s="3"/>
      <c r="G52" s="3"/>
      <c r="H52" s="3"/>
      <c r="I52" s="3"/>
    </row>
    <row r="53" spans="1:9">
      <c r="A53" s="15"/>
      <c r="B53" s="3"/>
      <c r="C53" s="3"/>
      <c r="D53" s="3"/>
      <c r="E53" s="13"/>
      <c r="F53" s="3"/>
      <c r="G53" s="3"/>
      <c r="H53" s="3"/>
      <c r="I53" s="3"/>
    </row>
    <row r="54" spans="1:9">
      <c r="A54" s="15"/>
      <c r="B54" s="3"/>
      <c r="C54" s="3"/>
      <c r="D54" s="3"/>
      <c r="E54" s="13"/>
      <c r="F54" s="3"/>
      <c r="G54" s="3"/>
      <c r="H54" s="3"/>
      <c r="I54" s="3"/>
    </row>
    <row r="55" spans="1:9">
      <c r="A55" s="15"/>
      <c r="B55" s="3"/>
      <c r="C55" s="3"/>
      <c r="D55" s="3"/>
      <c r="E55" s="13"/>
      <c r="F55" s="3"/>
      <c r="G55" s="3"/>
      <c r="H55" s="3"/>
      <c r="I55" s="3"/>
    </row>
    <row r="56" spans="1:9">
      <c r="A56" s="15"/>
      <c r="B56" s="3"/>
      <c r="C56" s="3"/>
      <c r="D56" s="3"/>
      <c r="E56" s="13"/>
      <c r="F56" s="3"/>
      <c r="G56" s="3"/>
      <c r="H56" s="3"/>
      <c r="I56" s="3"/>
    </row>
    <row r="57" spans="1:9">
      <c r="A57" s="15"/>
      <c r="B57" s="3"/>
      <c r="C57" s="3"/>
      <c r="D57" s="3"/>
      <c r="E57" s="13"/>
      <c r="F57" s="3"/>
      <c r="G57" s="3"/>
      <c r="H57" s="3"/>
      <c r="I57" s="3"/>
    </row>
    <row r="58" spans="1:9">
      <c r="A58" s="15"/>
      <c r="B58" s="3"/>
      <c r="C58" s="3"/>
      <c r="D58" s="3"/>
      <c r="E58" s="13"/>
      <c r="F58" s="3"/>
      <c r="G58" s="3"/>
      <c r="H58" s="3"/>
      <c r="I58" s="3"/>
    </row>
    <row r="59" spans="1:9">
      <c r="A59" s="15"/>
      <c r="B59" s="3"/>
      <c r="C59" s="3"/>
      <c r="D59" s="3"/>
      <c r="E59" s="13"/>
      <c r="F59" s="3"/>
      <c r="G59" s="3"/>
      <c r="H59" s="3"/>
      <c r="I59" s="3"/>
    </row>
    <row r="60" spans="1:9">
      <c r="A60" s="15"/>
      <c r="B60" s="3"/>
      <c r="C60" s="3"/>
      <c r="D60" s="3"/>
      <c r="E60" s="13"/>
      <c r="F60" s="3"/>
      <c r="G60" s="3"/>
      <c r="H60" s="3"/>
      <c r="I60" s="3"/>
    </row>
    <row r="61" spans="1:9">
      <c r="A61" s="15"/>
      <c r="B61" s="3"/>
      <c r="C61" s="3"/>
      <c r="D61" s="3"/>
      <c r="E61" s="13"/>
      <c r="F61" s="3"/>
      <c r="G61" s="3"/>
      <c r="H61" s="3"/>
      <c r="I61" s="3"/>
    </row>
    <row r="62" spans="1:9">
      <c r="A62" s="15"/>
      <c r="B62" s="3"/>
      <c r="C62" s="3"/>
      <c r="D62" s="3"/>
      <c r="E62" s="13"/>
      <c r="F62" s="3"/>
      <c r="G62" s="3"/>
      <c r="H62" s="3"/>
      <c r="I62" s="3"/>
    </row>
    <row r="63" spans="1:9">
      <c r="A63" s="15"/>
      <c r="B63" s="3"/>
      <c r="C63" s="3"/>
      <c r="D63" s="3"/>
      <c r="E63" s="13"/>
      <c r="F63" s="3"/>
      <c r="G63" s="3"/>
      <c r="H63" s="3"/>
      <c r="I63" s="3"/>
    </row>
    <row r="64" spans="1:9">
      <c r="A64" s="15"/>
      <c r="B64" s="3"/>
      <c r="C64" s="3"/>
      <c r="D64" s="3"/>
      <c r="E64" s="13"/>
      <c r="F64" s="3"/>
      <c r="G64" s="3"/>
      <c r="H64" s="3"/>
      <c r="I64" s="3"/>
    </row>
    <row r="65" spans="1:9">
      <c r="A65" s="15"/>
      <c r="B65" s="3"/>
      <c r="C65" s="3"/>
      <c r="D65" s="3"/>
      <c r="E65" s="13"/>
      <c r="F65" s="3"/>
      <c r="G65" s="3"/>
      <c r="H65" s="3"/>
      <c r="I65" s="3"/>
    </row>
    <row r="66" spans="1:9">
      <c r="A66" s="15"/>
      <c r="B66" s="3"/>
      <c r="C66" s="3"/>
      <c r="D66" s="3"/>
      <c r="E66" s="13"/>
      <c r="F66" s="3"/>
      <c r="G66" s="3"/>
      <c r="H66" s="3"/>
      <c r="I66" s="3"/>
    </row>
    <row r="67" spans="1:9">
      <c r="A67" s="15"/>
      <c r="B67" s="3"/>
      <c r="C67" s="3"/>
      <c r="D67" s="3"/>
      <c r="E67" s="13"/>
      <c r="F67" s="3"/>
      <c r="G67" s="3"/>
      <c r="H67" s="3"/>
      <c r="I67" s="3"/>
    </row>
    <row r="68" spans="1:9">
      <c r="A68" s="15"/>
      <c r="B68" s="3"/>
      <c r="C68" s="3"/>
      <c r="D68" s="3"/>
      <c r="E68" s="13"/>
      <c r="F68" s="3"/>
      <c r="G68" s="3"/>
      <c r="H68" s="3"/>
      <c r="I68" s="3"/>
    </row>
    <row r="69" spans="1:9">
      <c r="A69" s="15"/>
      <c r="B69" s="3"/>
      <c r="C69" s="3"/>
      <c r="D69" s="3"/>
      <c r="E69" s="13"/>
      <c r="F69" s="3"/>
      <c r="G69" s="3"/>
      <c r="H69" s="3"/>
      <c r="I69" s="3"/>
    </row>
    <row r="70" spans="1:9">
      <c r="A70" s="15"/>
      <c r="B70" s="3"/>
      <c r="C70" s="3"/>
      <c r="D70" s="3"/>
      <c r="E70" s="13"/>
      <c r="F70" s="3"/>
      <c r="G70" s="3"/>
      <c r="H70" s="3"/>
      <c r="I70" s="3"/>
    </row>
    <row r="71" spans="1:9">
      <c r="A71" s="15"/>
      <c r="B71" s="3"/>
      <c r="C71" s="3"/>
      <c r="D71" s="3"/>
      <c r="E71" s="13"/>
      <c r="F71" s="3"/>
      <c r="G71" s="3"/>
      <c r="H71" s="3"/>
      <c r="I71" s="3"/>
    </row>
    <row r="72" spans="1:9">
      <c r="A72" s="15"/>
      <c r="B72" s="3"/>
      <c r="C72" s="3"/>
      <c r="D72" s="3"/>
      <c r="E72" s="13"/>
      <c r="F72" s="3"/>
      <c r="G72" s="3"/>
      <c r="H72" s="3"/>
      <c r="I72" s="3"/>
    </row>
    <row r="73" spans="1:9">
      <c r="A73" s="15"/>
      <c r="B73" s="3"/>
      <c r="C73" s="3"/>
      <c r="D73" s="3"/>
      <c r="E73" s="13"/>
      <c r="F73" s="3"/>
      <c r="G73" s="3"/>
      <c r="H73" s="3"/>
      <c r="I73" s="3"/>
    </row>
    <row r="74" spans="1:9">
      <c r="A74" s="15"/>
      <c r="B74" s="3"/>
      <c r="C74" s="3"/>
      <c r="D74" s="3"/>
      <c r="E74" s="13"/>
      <c r="F74" s="3"/>
      <c r="G74" s="3"/>
      <c r="H74" s="3"/>
      <c r="I74" s="3"/>
    </row>
    <row r="75" spans="1:9">
      <c r="A75" s="15"/>
      <c r="B75" s="3"/>
      <c r="C75" s="3"/>
      <c r="D75" s="3"/>
      <c r="E75" s="13"/>
      <c r="F75" s="3"/>
      <c r="G75" s="3"/>
      <c r="H75" s="3"/>
      <c r="I75" s="3"/>
    </row>
    <row r="76" spans="1:9">
      <c r="A76" s="15"/>
      <c r="B76" s="3"/>
      <c r="C76" s="3"/>
      <c r="D76" s="3"/>
      <c r="E76" s="13"/>
      <c r="F76" s="3"/>
      <c r="G76" s="3"/>
      <c r="H76" s="3"/>
      <c r="I76" s="3"/>
    </row>
    <row r="77" spans="1:9">
      <c r="A77" s="15"/>
      <c r="B77" s="3"/>
      <c r="C77" s="3"/>
      <c r="D77" s="3"/>
      <c r="E77" s="13"/>
      <c r="F77" s="3"/>
      <c r="G77" s="3"/>
      <c r="H77" s="3"/>
      <c r="I77" s="3"/>
    </row>
    <row r="78" spans="1:9">
      <c r="A78" s="15"/>
      <c r="B78" s="3"/>
      <c r="C78" s="3"/>
      <c r="D78" s="3"/>
      <c r="E78" s="13"/>
      <c r="F78" s="3"/>
      <c r="G78" s="3"/>
      <c r="H78" s="3"/>
      <c r="I78" s="3"/>
    </row>
    <row r="79" spans="1:9">
      <c r="A79" s="15"/>
      <c r="B79" s="3"/>
      <c r="C79" s="3"/>
      <c r="D79" s="3"/>
      <c r="E79" s="13"/>
      <c r="F79" s="3"/>
      <c r="G79" s="3"/>
      <c r="H79" s="3"/>
      <c r="I79" s="3"/>
    </row>
    <row r="80" spans="1:9">
      <c r="A80" s="15"/>
      <c r="B80" s="3"/>
      <c r="C80" s="3"/>
      <c r="D80" s="3"/>
      <c r="E80" s="13"/>
      <c r="F80" s="3"/>
      <c r="G80" s="3"/>
      <c r="H80" s="3"/>
      <c r="I80" s="3"/>
    </row>
    <row r="81" spans="1:9">
      <c r="A81" s="15"/>
      <c r="B81" s="3"/>
      <c r="C81" s="3"/>
      <c r="D81" s="3"/>
      <c r="E81" s="13"/>
      <c r="F81" s="3"/>
      <c r="G81" s="3"/>
      <c r="H81" s="3"/>
      <c r="I81" s="3"/>
    </row>
    <row r="82" spans="1:9">
      <c r="A82" s="15"/>
      <c r="B82" s="3"/>
      <c r="C82" s="3"/>
      <c r="D82" s="3"/>
      <c r="E82" s="13"/>
      <c r="F82" s="3"/>
      <c r="G82" s="3"/>
      <c r="H82" s="3"/>
      <c r="I82" s="3"/>
    </row>
    <row r="83" spans="1:9">
      <c r="A83" s="15"/>
      <c r="B83" s="3"/>
      <c r="C83" s="3"/>
      <c r="D83" s="3"/>
      <c r="E83" s="13"/>
      <c r="F83" s="3"/>
      <c r="G83" s="3"/>
      <c r="H83" s="3"/>
      <c r="I83" s="3"/>
    </row>
    <row r="84" spans="1:9">
      <c r="A84" s="15"/>
      <c r="B84" s="3"/>
      <c r="C84" s="3"/>
      <c r="D84" s="3"/>
      <c r="E84" s="13"/>
      <c r="F84" s="3"/>
      <c r="G84" s="3"/>
      <c r="H84" s="3"/>
      <c r="I84" s="3"/>
    </row>
    <row r="85" spans="1:9">
      <c r="A85" s="15"/>
      <c r="B85" s="3"/>
      <c r="C85" s="3"/>
      <c r="D85" s="3"/>
      <c r="E85" s="13"/>
      <c r="F85" s="3"/>
      <c r="G85" s="3"/>
      <c r="H85" s="3"/>
      <c r="I85" s="3"/>
    </row>
    <row r="86" spans="1:9">
      <c r="A86" s="15"/>
      <c r="B86" s="3"/>
      <c r="C86" s="3"/>
      <c r="D86" s="3"/>
      <c r="E86" s="13"/>
      <c r="F86" s="3"/>
      <c r="G86" s="3"/>
      <c r="H86" s="3"/>
      <c r="I86" s="3"/>
    </row>
    <row r="87" spans="1:9">
      <c r="A87" s="15"/>
      <c r="B87" s="3"/>
      <c r="C87" s="3"/>
      <c r="D87" s="3"/>
      <c r="E87" s="13"/>
      <c r="F87" s="3"/>
      <c r="G87" s="3"/>
      <c r="H87" s="3"/>
      <c r="I87" s="3"/>
    </row>
    <row r="88" spans="1:9">
      <c r="A88" s="15"/>
      <c r="B88" s="3"/>
      <c r="C88" s="3"/>
      <c r="D88" s="3"/>
      <c r="E88" s="13"/>
      <c r="F88" s="3"/>
      <c r="G88" s="3"/>
      <c r="H88" s="3"/>
      <c r="I88" s="3"/>
    </row>
    <row r="89" spans="1:9">
      <c r="A89" s="15"/>
      <c r="B89" s="3"/>
      <c r="C89" s="3"/>
      <c r="D89" s="3"/>
      <c r="E89" s="13"/>
      <c r="F89" s="3"/>
      <c r="G89" s="3"/>
      <c r="H89" s="3"/>
      <c r="I89" s="3"/>
    </row>
    <row r="90" spans="1:9">
      <c r="A90" s="15"/>
      <c r="B90" s="3"/>
      <c r="C90" s="3"/>
      <c r="D90" s="3"/>
      <c r="E90" s="13"/>
      <c r="F90" s="3"/>
      <c r="G90" s="3"/>
      <c r="H90" s="3"/>
      <c r="I90" s="3"/>
    </row>
    <row r="91" spans="1:9">
      <c r="A91" s="15"/>
      <c r="B91" s="3"/>
      <c r="C91" s="3"/>
      <c r="D91" s="3"/>
      <c r="E91" s="13"/>
      <c r="F91" s="3"/>
      <c r="G91" s="3"/>
      <c r="H91" s="3"/>
      <c r="I91" s="3"/>
    </row>
    <row r="92" spans="1:9">
      <c r="A92" s="15"/>
      <c r="B92" s="3"/>
      <c r="C92" s="3"/>
      <c r="D92" s="3"/>
      <c r="E92" s="13"/>
      <c r="F92" s="3"/>
      <c r="G92" s="3"/>
      <c r="H92" s="3"/>
      <c r="I92" s="3"/>
    </row>
    <row r="93" spans="1:9">
      <c r="A93" s="15"/>
      <c r="B93" s="3"/>
      <c r="C93" s="3"/>
      <c r="D93" s="3"/>
      <c r="E93" s="13"/>
      <c r="F93" s="3"/>
      <c r="G93" s="3"/>
      <c r="H93" s="3"/>
      <c r="I93" s="3"/>
    </row>
    <row r="94" spans="1:9">
      <c r="A94" s="15"/>
      <c r="B94" s="3"/>
      <c r="C94" s="3"/>
      <c r="D94" s="3"/>
      <c r="E94" s="13"/>
      <c r="F94" s="3"/>
      <c r="G94" s="3"/>
      <c r="H94" s="3"/>
      <c r="I94" s="3"/>
    </row>
    <row r="95" spans="1:9">
      <c r="A95" s="15"/>
      <c r="B95" s="3"/>
      <c r="C95" s="3"/>
      <c r="D95" s="3"/>
      <c r="E95" s="13"/>
      <c r="F95" s="3"/>
      <c r="G95" s="3"/>
      <c r="H95" s="3"/>
      <c r="I95" s="3"/>
    </row>
    <row r="96" spans="1:9">
      <c r="A96" s="15"/>
      <c r="B96" s="3"/>
      <c r="C96" s="3"/>
      <c r="D96" s="3"/>
      <c r="E96" s="13"/>
      <c r="F96" s="3"/>
      <c r="G96" s="3"/>
      <c r="H96" s="3"/>
      <c r="I96" s="3"/>
    </row>
    <row r="97" spans="1:9">
      <c r="A97" s="15"/>
      <c r="B97" s="3"/>
      <c r="C97" s="3"/>
      <c r="D97" s="3"/>
      <c r="E97" s="13"/>
      <c r="F97" s="3"/>
      <c r="G97" s="3"/>
      <c r="H97" s="3"/>
      <c r="I97" s="3"/>
    </row>
    <row r="98" spans="1:9">
      <c r="A98" s="15"/>
      <c r="B98" s="3"/>
      <c r="C98" s="3"/>
      <c r="D98" s="3"/>
      <c r="E98" s="13"/>
      <c r="F98" s="3"/>
      <c r="G98" s="3"/>
      <c r="H98" s="3"/>
      <c r="I98" s="3"/>
    </row>
    <row r="99" spans="1:9">
      <c r="A99" s="15"/>
      <c r="B99" s="3"/>
      <c r="C99" s="3"/>
      <c r="D99" s="3"/>
      <c r="E99" s="13"/>
      <c r="F99" s="3"/>
      <c r="G99" s="3"/>
      <c r="H99" s="3"/>
      <c r="I99" s="3"/>
    </row>
    <row r="100" spans="1:9">
      <c r="A100" s="15"/>
      <c r="B100" s="3"/>
      <c r="C100" s="3"/>
      <c r="D100" s="3"/>
      <c r="E100" s="13"/>
      <c r="F100" s="3"/>
      <c r="G100" s="3"/>
      <c r="H100" s="3"/>
      <c r="I100" s="3"/>
    </row>
    <row r="101" spans="1:9">
      <c r="A101" s="15"/>
      <c r="B101" s="3"/>
      <c r="C101" s="3"/>
      <c r="D101" s="3"/>
      <c r="E101" s="13"/>
      <c r="F101" s="3"/>
      <c r="G101" s="3"/>
      <c r="H101" s="3"/>
      <c r="I101" s="3"/>
    </row>
    <row r="102" spans="1:9">
      <c r="A102" s="15"/>
      <c r="B102" s="3"/>
      <c r="C102" s="3"/>
      <c r="D102" s="3"/>
      <c r="E102" s="13"/>
      <c r="F102" s="3"/>
      <c r="G102" s="3"/>
      <c r="H102" s="3"/>
      <c r="I102" s="3"/>
    </row>
    <row r="103" spans="1:9">
      <c r="A103" s="15"/>
      <c r="B103" s="3"/>
      <c r="C103" s="3"/>
      <c r="D103" s="3"/>
      <c r="E103" s="13"/>
      <c r="F103" s="3"/>
      <c r="G103" s="3"/>
      <c r="H103" s="3"/>
      <c r="I103" s="3"/>
    </row>
    <row r="104" spans="1:9">
      <c r="A104" s="15"/>
      <c r="B104" s="3"/>
      <c r="C104" s="3"/>
      <c r="D104" s="3"/>
      <c r="E104" s="13"/>
      <c r="F104" s="3"/>
      <c r="G104" s="3"/>
      <c r="H104" s="3"/>
      <c r="I104" s="3"/>
    </row>
    <row r="105" spans="1:9">
      <c r="A105" s="15"/>
      <c r="B105" s="3"/>
      <c r="C105" s="3"/>
      <c r="D105" s="3"/>
      <c r="E105" s="13"/>
      <c r="F105" s="3"/>
      <c r="G105" s="3"/>
      <c r="H105" s="3"/>
      <c r="I105" s="3"/>
    </row>
    <row r="106" spans="1:9">
      <c r="A106" s="15"/>
      <c r="B106" s="3"/>
      <c r="C106" s="3"/>
      <c r="D106" s="3"/>
      <c r="E106" s="13"/>
      <c r="F106" s="3"/>
      <c r="G106" s="3"/>
      <c r="H106" s="3"/>
      <c r="I106" s="3"/>
    </row>
    <row r="107" spans="1:9">
      <c r="A107" s="15"/>
      <c r="B107" s="3"/>
      <c r="C107" s="3"/>
      <c r="D107" s="3"/>
      <c r="E107" s="13"/>
      <c r="F107" s="3"/>
      <c r="G107" s="3"/>
      <c r="H107" s="3"/>
      <c r="I107" s="3"/>
    </row>
    <row r="108" spans="1:9">
      <c r="A108" s="15"/>
      <c r="B108" s="3"/>
      <c r="C108" s="3"/>
      <c r="D108" s="3"/>
      <c r="E108" s="13"/>
      <c r="F108" s="3"/>
      <c r="G108" s="3"/>
      <c r="H108" s="3"/>
      <c r="I108" s="3"/>
    </row>
    <row r="109" spans="1:9">
      <c r="A109" s="15"/>
      <c r="B109" s="3"/>
      <c r="C109" s="3"/>
      <c r="D109" s="3"/>
      <c r="E109" s="13"/>
      <c r="F109" s="3"/>
      <c r="G109" s="3"/>
      <c r="H109" s="3"/>
      <c r="I109" s="3"/>
    </row>
    <row r="110" spans="1:9">
      <c r="A110" s="15"/>
      <c r="B110" s="3"/>
      <c r="C110" s="3"/>
      <c r="D110" s="3"/>
      <c r="E110" s="13"/>
      <c r="F110" s="3"/>
      <c r="G110" s="3"/>
      <c r="H110" s="3"/>
      <c r="I110" s="3"/>
    </row>
    <row r="111" spans="1:9">
      <c r="A111" s="15"/>
      <c r="B111" s="3"/>
      <c r="C111" s="3"/>
      <c r="D111" s="3"/>
      <c r="E111" s="13"/>
      <c r="F111" s="3"/>
      <c r="G111" s="3"/>
      <c r="H111" s="3"/>
      <c r="I111" s="3"/>
    </row>
    <row r="112" spans="1:9">
      <c r="A112" s="15"/>
      <c r="B112" s="3"/>
      <c r="C112" s="3"/>
      <c r="D112" s="3"/>
      <c r="E112" s="13"/>
      <c r="F112" s="3"/>
      <c r="G112" s="3"/>
      <c r="H112" s="3"/>
      <c r="I112" s="3"/>
    </row>
    <row r="113" spans="1:9">
      <c r="A113" s="15"/>
      <c r="B113" s="3"/>
      <c r="C113" s="3"/>
      <c r="D113" s="3"/>
      <c r="E113" s="13"/>
      <c r="F113" s="3"/>
      <c r="G113" s="3"/>
      <c r="H113" s="3"/>
      <c r="I113" s="3"/>
    </row>
    <row r="114" spans="1:9">
      <c r="A114" s="15"/>
      <c r="B114" s="3"/>
      <c r="C114" s="3"/>
      <c r="D114" s="3"/>
      <c r="E114" s="13"/>
      <c r="F114" s="3"/>
      <c r="G114" s="3"/>
      <c r="H114" s="3"/>
      <c r="I114" s="3"/>
    </row>
    <row r="115" spans="1:9">
      <c r="A115" s="15"/>
      <c r="B115" s="3"/>
      <c r="C115" s="3"/>
      <c r="D115" s="3"/>
      <c r="E115" s="13"/>
      <c r="F115" s="3"/>
      <c r="G115" s="3"/>
      <c r="H115" s="3"/>
      <c r="I115" s="3"/>
    </row>
    <row r="116" spans="1:9">
      <c r="A116" s="15"/>
      <c r="B116" s="3"/>
      <c r="C116" s="3"/>
      <c r="D116" s="3"/>
      <c r="E116" s="13"/>
      <c r="F116" s="3"/>
      <c r="G116" s="3"/>
      <c r="H116" s="3"/>
      <c r="I116" s="3"/>
    </row>
    <row r="117" spans="1:9">
      <c r="A117" s="15"/>
      <c r="B117" s="3"/>
      <c r="C117" s="3"/>
      <c r="D117" s="3"/>
      <c r="E117" s="13"/>
      <c r="F117" s="3"/>
      <c r="G117" s="3"/>
      <c r="H117" s="3"/>
      <c r="I117" s="3"/>
    </row>
    <row r="118" spans="1:9">
      <c r="A118" s="15"/>
      <c r="B118" s="3"/>
      <c r="C118" s="3"/>
      <c r="D118" s="3"/>
      <c r="E118" s="13"/>
      <c r="F118" s="3"/>
      <c r="G118" s="3"/>
      <c r="H118" s="3"/>
      <c r="I118" s="3"/>
    </row>
    <row r="119" spans="1:9">
      <c r="A119" s="15"/>
      <c r="B119" s="3"/>
      <c r="C119" s="3"/>
      <c r="D119" s="3"/>
      <c r="E119" s="13"/>
      <c r="F119" s="3"/>
      <c r="G119" s="3"/>
      <c r="H119" s="3"/>
      <c r="I119" s="3"/>
    </row>
    <row r="120" spans="1:9">
      <c r="A120" s="15"/>
      <c r="B120" s="3"/>
      <c r="C120" s="3"/>
      <c r="D120" s="3"/>
      <c r="E120" s="13"/>
      <c r="F120" s="3"/>
      <c r="G120" s="3"/>
      <c r="H120" s="3"/>
      <c r="I120" s="3"/>
    </row>
    <row r="121" spans="1:9">
      <c r="A121" s="15"/>
      <c r="B121" s="3"/>
      <c r="C121" s="3"/>
      <c r="D121" s="3"/>
      <c r="E121" s="13"/>
      <c r="F121" s="3"/>
      <c r="G121" s="3"/>
      <c r="H121" s="3"/>
      <c r="I121" s="3"/>
    </row>
    <row r="122" spans="1:9">
      <c r="A122" s="15"/>
      <c r="B122" s="3"/>
      <c r="C122" s="3"/>
      <c r="D122" s="3"/>
      <c r="E122" s="13"/>
      <c r="F122" s="3"/>
      <c r="G122" s="3"/>
      <c r="H122" s="3"/>
      <c r="I122" s="3"/>
    </row>
    <row r="123" spans="1:9">
      <c r="A123" s="15"/>
      <c r="B123" s="3"/>
      <c r="C123" s="3"/>
      <c r="D123" s="3"/>
      <c r="E123" s="13"/>
      <c r="F123" s="3"/>
      <c r="G123" s="3"/>
      <c r="H123" s="3"/>
      <c r="I123" s="3"/>
    </row>
    <row r="124" spans="1:9">
      <c r="A124" s="15"/>
      <c r="B124" s="3"/>
      <c r="C124" s="3"/>
      <c r="D124" s="3"/>
      <c r="E124" s="13"/>
      <c r="F124" s="3"/>
      <c r="G124" s="3"/>
      <c r="H124" s="3"/>
      <c r="I124" s="3"/>
    </row>
    <row r="125" spans="1:9">
      <c r="A125" s="15"/>
      <c r="B125" s="3"/>
      <c r="C125" s="3"/>
      <c r="D125" s="3"/>
      <c r="E125" s="13"/>
      <c r="F125" s="3"/>
      <c r="G125" s="3"/>
      <c r="H125" s="3"/>
      <c r="I125" s="3"/>
    </row>
    <row r="126" spans="1:9">
      <c r="A126" s="15"/>
      <c r="B126" s="3"/>
      <c r="C126" s="3"/>
      <c r="D126" s="3"/>
      <c r="E126" s="13"/>
      <c r="F126" s="3"/>
      <c r="G126" s="3"/>
      <c r="H126" s="3"/>
      <c r="I126" s="3"/>
    </row>
    <row r="127" spans="1:9">
      <c r="A127" s="15"/>
      <c r="B127" s="3"/>
      <c r="C127" s="3"/>
      <c r="D127" s="3"/>
      <c r="E127" s="13"/>
      <c r="F127" s="3"/>
      <c r="G127" s="3"/>
      <c r="H127" s="3"/>
      <c r="I127" s="3"/>
    </row>
    <row r="128" spans="1:9">
      <c r="A128" s="15"/>
      <c r="B128" s="3"/>
      <c r="C128" s="3"/>
      <c r="D128" s="3"/>
      <c r="E128" s="13"/>
      <c r="F128" s="3"/>
      <c r="G128" s="3"/>
      <c r="H128" s="3"/>
      <c r="I128" s="3"/>
    </row>
    <row r="129" spans="1:9">
      <c r="A129" s="15"/>
      <c r="B129" s="3"/>
      <c r="C129" s="3"/>
      <c r="D129" s="3"/>
      <c r="E129" s="13"/>
      <c r="F129" s="3"/>
      <c r="G129" s="3"/>
      <c r="H129" s="3"/>
      <c r="I129" s="3"/>
    </row>
    <row r="130" spans="1:9">
      <c r="A130" s="15"/>
      <c r="B130" s="3"/>
      <c r="C130" s="3"/>
      <c r="D130" s="3"/>
      <c r="E130" s="13"/>
      <c r="F130" s="3"/>
      <c r="G130" s="3"/>
      <c r="H130" s="3"/>
      <c r="I130" s="3"/>
    </row>
    <row r="131" spans="1:9">
      <c r="A131" s="15"/>
      <c r="B131" s="3"/>
      <c r="C131" s="3"/>
      <c r="D131" s="3"/>
      <c r="E131" s="13"/>
      <c r="F131" s="3"/>
      <c r="G131" s="3"/>
      <c r="H131" s="3"/>
      <c r="I131" s="3"/>
    </row>
    <row r="132" spans="1:9">
      <c r="A132" s="15"/>
      <c r="B132" s="3"/>
      <c r="C132" s="3"/>
      <c r="D132" s="3"/>
      <c r="E132" s="13"/>
      <c r="F132" s="3"/>
      <c r="G132" s="3"/>
      <c r="H132" s="3"/>
      <c r="I132" s="3"/>
    </row>
    <row r="133" spans="1:9">
      <c r="A133" s="15"/>
      <c r="B133" s="3"/>
      <c r="C133" s="3"/>
      <c r="D133" s="3"/>
      <c r="E133" s="13"/>
      <c r="F133" s="3"/>
      <c r="G133" s="3"/>
      <c r="H133" s="3"/>
      <c r="I133" s="3"/>
    </row>
    <row r="134" spans="1:9">
      <c r="A134" s="15"/>
      <c r="B134" s="3"/>
      <c r="C134" s="3"/>
      <c r="D134" s="3"/>
      <c r="E134" s="13"/>
      <c r="F134" s="3"/>
      <c r="G134" s="3"/>
      <c r="H134" s="3"/>
      <c r="I134" s="3"/>
    </row>
    <row r="135" spans="1:9">
      <c r="A135" s="15"/>
      <c r="B135" s="3"/>
      <c r="C135" s="3"/>
      <c r="D135" s="3"/>
      <c r="E135" s="13"/>
      <c r="F135" s="3"/>
      <c r="G135" s="3"/>
      <c r="H135" s="3"/>
      <c r="I135" s="3"/>
    </row>
    <row r="136" spans="1:9">
      <c r="A136" s="15"/>
      <c r="B136" s="3"/>
      <c r="C136" s="3"/>
      <c r="D136" s="3"/>
      <c r="E136" s="13"/>
      <c r="F136" s="3"/>
      <c r="G136" s="3"/>
      <c r="H136" s="3"/>
      <c r="I136" s="3"/>
    </row>
    <row r="137" spans="1:9">
      <c r="A137" s="15"/>
      <c r="B137" s="3"/>
      <c r="C137" s="3"/>
      <c r="D137" s="3"/>
      <c r="E137" s="13"/>
      <c r="F137" s="3"/>
      <c r="G137" s="3"/>
      <c r="H137" s="3"/>
      <c r="I137" s="3"/>
    </row>
    <row r="138" spans="1:9">
      <c r="A138" s="15"/>
      <c r="B138" s="3"/>
      <c r="C138" s="3"/>
      <c r="D138" s="3"/>
      <c r="E138" s="13"/>
      <c r="F138" s="3"/>
      <c r="G138" s="3"/>
      <c r="H138" s="3"/>
      <c r="I138" s="3"/>
    </row>
    <row r="139" spans="1:9">
      <c r="A139" s="15"/>
      <c r="B139" s="3"/>
      <c r="C139" s="3"/>
      <c r="D139" s="3"/>
      <c r="E139" s="13"/>
      <c r="F139" s="3"/>
      <c r="G139" s="3"/>
      <c r="H139" s="3"/>
      <c r="I139" s="3"/>
    </row>
    <row r="140" spans="1:9">
      <c r="A140" s="15"/>
      <c r="B140" s="3"/>
      <c r="C140" s="3"/>
      <c r="D140" s="3"/>
      <c r="E140" s="13"/>
      <c r="F140" s="3"/>
      <c r="G140" s="3"/>
      <c r="H140" s="3"/>
      <c r="I140" s="3"/>
    </row>
    <row r="141" spans="1:9">
      <c r="A141" s="15"/>
      <c r="B141" s="3"/>
      <c r="C141" s="3"/>
      <c r="D141" s="3"/>
      <c r="E141" s="13"/>
      <c r="F141" s="3"/>
      <c r="G141" s="3"/>
      <c r="H141" s="3"/>
      <c r="I141" s="3"/>
    </row>
    <row r="142" spans="1:9">
      <c r="A142" s="15"/>
      <c r="B142" s="3"/>
      <c r="C142" s="3"/>
      <c r="D142" s="3"/>
      <c r="E142" s="13"/>
      <c r="F142" s="3"/>
      <c r="G142" s="3"/>
      <c r="H142" s="3"/>
      <c r="I142" s="3"/>
    </row>
    <row r="143" spans="1:9">
      <c r="A143" s="15"/>
      <c r="B143" s="3"/>
      <c r="C143" s="3"/>
      <c r="D143" s="3"/>
      <c r="E143" s="13"/>
      <c r="F143" s="3"/>
      <c r="G143" s="3"/>
      <c r="H143" s="3"/>
      <c r="I143" s="3"/>
    </row>
    <row r="144" spans="1:9">
      <c r="A144" s="15"/>
      <c r="B144" s="3"/>
      <c r="C144" s="3"/>
      <c r="D144" s="3"/>
      <c r="E144" s="13"/>
      <c r="F144" s="3"/>
      <c r="G144" s="3"/>
      <c r="H144" s="3"/>
      <c r="I144" s="3"/>
    </row>
    <row r="145" spans="1:9">
      <c r="A145" s="15"/>
      <c r="B145" s="3"/>
      <c r="C145" s="3"/>
      <c r="D145" s="3"/>
      <c r="E145" s="13"/>
      <c r="F145" s="3"/>
      <c r="G145" s="3"/>
      <c r="H145" s="3"/>
      <c r="I145" s="3"/>
    </row>
    <row r="146" spans="1:9">
      <c r="A146" s="15"/>
      <c r="B146" s="3"/>
      <c r="C146" s="3"/>
      <c r="D146" s="3"/>
      <c r="E146" s="13"/>
      <c r="F146" s="3"/>
      <c r="G146" s="3"/>
      <c r="H146" s="3"/>
      <c r="I146" s="3"/>
    </row>
    <row r="147" spans="1:9">
      <c r="A147" s="15"/>
      <c r="B147" s="3"/>
      <c r="C147" s="3"/>
      <c r="D147" s="3"/>
      <c r="E147" s="13"/>
      <c r="F147" s="3"/>
      <c r="G147" s="3"/>
      <c r="H147" s="3"/>
      <c r="I147" s="3"/>
    </row>
    <row r="148" spans="1:9">
      <c r="A148" s="15"/>
      <c r="B148" s="3"/>
      <c r="C148" s="3"/>
      <c r="D148" s="3"/>
      <c r="E148" s="13"/>
      <c r="F148" s="3"/>
      <c r="G148" s="3"/>
      <c r="H148" s="3"/>
      <c r="I148" s="3"/>
    </row>
    <row r="149" spans="1:9">
      <c r="A149" s="15"/>
      <c r="B149" s="3"/>
      <c r="C149" s="3"/>
      <c r="D149" s="3"/>
      <c r="E149" s="13"/>
      <c r="F149" s="3"/>
      <c r="G149" s="3"/>
      <c r="H149" s="3"/>
      <c r="I149" s="3"/>
    </row>
    <row r="150" spans="1:9">
      <c r="A150" s="15"/>
      <c r="B150" s="3"/>
      <c r="C150" s="3"/>
      <c r="D150" s="3"/>
      <c r="E150" s="13"/>
      <c r="F150" s="3"/>
      <c r="G150" s="3"/>
      <c r="H150" s="3"/>
      <c r="I150" s="3"/>
    </row>
    <row r="151" spans="1:9">
      <c r="A151" s="15"/>
      <c r="B151" s="3"/>
      <c r="C151" s="3"/>
      <c r="D151" s="3"/>
      <c r="E151" s="13"/>
      <c r="F151" s="3"/>
      <c r="G151" s="3"/>
      <c r="H151" s="3"/>
      <c r="I151" s="3"/>
    </row>
    <row r="152" spans="1:9">
      <c r="A152" s="15"/>
      <c r="B152" s="3"/>
      <c r="C152" s="3"/>
      <c r="D152" s="3"/>
      <c r="E152" s="13"/>
      <c r="F152" s="3"/>
      <c r="G152" s="3"/>
      <c r="H152" s="3"/>
      <c r="I152" s="3"/>
    </row>
    <row r="153" spans="1:9">
      <c r="A153" s="15"/>
      <c r="B153" s="3"/>
      <c r="C153" s="3"/>
      <c r="D153" s="3"/>
      <c r="E153" s="13"/>
      <c r="F153" s="3"/>
      <c r="G153" s="3"/>
      <c r="H153" s="3"/>
      <c r="I153" s="3"/>
    </row>
    <row r="154" spans="1:9">
      <c r="A154" s="15"/>
      <c r="B154" s="3"/>
      <c r="C154" s="3"/>
      <c r="D154" s="3"/>
      <c r="E154" s="13"/>
      <c r="F154" s="3"/>
      <c r="G154" s="3"/>
      <c r="H154" s="3"/>
      <c r="I154" s="3"/>
    </row>
    <row r="155" spans="1:9">
      <c r="A155" s="15"/>
      <c r="B155" s="3"/>
      <c r="C155" s="3"/>
      <c r="D155" s="3"/>
      <c r="E155" s="13"/>
      <c r="F155" s="3"/>
      <c r="G155" s="3"/>
      <c r="H155" s="3"/>
      <c r="I155" s="3"/>
    </row>
    <row r="156" spans="1:9">
      <c r="A156" s="15"/>
      <c r="B156" s="3"/>
      <c r="C156" s="3"/>
      <c r="D156" s="3"/>
      <c r="E156" s="13"/>
      <c r="F156" s="3"/>
      <c r="G156" s="3"/>
      <c r="H156" s="3"/>
      <c r="I156" s="3"/>
    </row>
    <row r="157" spans="1:9">
      <c r="A157" s="15"/>
      <c r="B157" s="3"/>
      <c r="C157" s="3"/>
      <c r="D157" s="3"/>
      <c r="E157" s="13"/>
      <c r="F157" s="3"/>
      <c r="G157" s="3"/>
      <c r="H157" s="3"/>
      <c r="I157" s="3"/>
    </row>
    <row r="158" spans="1:9">
      <c r="A158" s="15"/>
      <c r="B158" s="3"/>
      <c r="C158" s="3"/>
      <c r="D158" s="3"/>
      <c r="E158" s="13"/>
      <c r="F158" s="3"/>
      <c r="G158" s="3"/>
      <c r="H158" s="3"/>
      <c r="I158" s="3"/>
    </row>
    <row r="159" spans="1:9">
      <c r="A159" s="15"/>
      <c r="B159" s="3"/>
      <c r="C159" s="3"/>
      <c r="D159" s="3"/>
      <c r="E159" s="13"/>
      <c r="F159" s="3"/>
      <c r="G159" s="3"/>
      <c r="H159" s="3"/>
      <c r="I159" s="3"/>
    </row>
    <row r="160" spans="1:9">
      <c r="A160" s="15"/>
      <c r="B160" s="3"/>
      <c r="C160" s="3"/>
      <c r="D160" s="3"/>
      <c r="E160" s="13"/>
      <c r="F160" s="3"/>
      <c r="G160" s="3"/>
      <c r="H160" s="3"/>
      <c r="I160" s="3"/>
    </row>
    <row r="161" spans="1:9">
      <c r="A161" s="15"/>
      <c r="B161" s="3"/>
      <c r="C161" s="3"/>
      <c r="D161" s="3"/>
      <c r="E161" s="13"/>
      <c r="F161" s="3"/>
      <c r="G161" s="3"/>
      <c r="H161" s="3"/>
      <c r="I161" s="3"/>
    </row>
    <row r="162" spans="1:9">
      <c r="A162" s="15"/>
      <c r="B162" s="3"/>
      <c r="C162" s="3"/>
      <c r="D162" s="3"/>
      <c r="E162" s="13"/>
      <c r="F162" s="3"/>
      <c r="G162" s="3"/>
      <c r="H162" s="3"/>
      <c r="I162" s="3"/>
    </row>
    <row r="163" spans="1:9">
      <c r="A163" s="15"/>
      <c r="B163" s="3"/>
      <c r="C163" s="3"/>
      <c r="D163" s="3"/>
      <c r="E163" s="13"/>
      <c r="F163" s="3"/>
      <c r="G163" s="3"/>
      <c r="H163" s="3"/>
      <c r="I163" s="3"/>
    </row>
    <row r="164" spans="1:9">
      <c r="A164" s="15"/>
      <c r="B164" s="3"/>
      <c r="C164" s="3"/>
      <c r="D164" s="3"/>
      <c r="E164" s="13"/>
      <c r="F164" s="3"/>
      <c r="G164" s="3"/>
      <c r="H164" s="3"/>
      <c r="I164" s="3"/>
    </row>
    <row r="165" spans="1:9">
      <c r="A165" s="15"/>
      <c r="B165" s="3"/>
      <c r="C165" s="3"/>
      <c r="D165" s="3"/>
      <c r="E165" s="13"/>
      <c r="F165" s="3"/>
      <c r="G165" s="3"/>
      <c r="H165" s="3"/>
      <c r="I165" s="3"/>
    </row>
    <row r="166" spans="1:9">
      <c r="A166" s="15"/>
      <c r="B166" s="3"/>
      <c r="C166" s="3"/>
      <c r="D166" s="3"/>
      <c r="E166" s="13"/>
      <c r="F166" s="3"/>
      <c r="G166" s="3"/>
      <c r="H166" s="3"/>
      <c r="I166" s="3"/>
    </row>
    <row r="167" spans="1:9">
      <c r="A167" s="15"/>
      <c r="B167" s="3"/>
      <c r="C167" s="3"/>
      <c r="D167" s="3"/>
      <c r="E167" s="13"/>
      <c r="F167" s="3"/>
      <c r="G167" s="3"/>
      <c r="H167" s="3"/>
      <c r="I167" s="3"/>
    </row>
    <row r="168" spans="1:9">
      <c r="A168" s="15"/>
      <c r="B168" s="3"/>
      <c r="C168" s="3"/>
      <c r="D168" s="3"/>
      <c r="E168" s="13"/>
      <c r="F168" s="3"/>
      <c r="G168" s="3"/>
      <c r="H168" s="3"/>
      <c r="I168" s="3"/>
    </row>
    <row r="169" spans="1:9">
      <c r="A169" s="15"/>
      <c r="B169" s="3"/>
      <c r="C169" s="3"/>
      <c r="D169" s="3"/>
      <c r="E169" s="13"/>
      <c r="F169" s="3"/>
      <c r="G169" s="3"/>
      <c r="H169" s="3"/>
      <c r="I169" s="3"/>
    </row>
    <row r="170" spans="1:9">
      <c r="A170" s="15"/>
      <c r="B170" s="3"/>
      <c r="C170" s="3"/>
      <c r="D170" s="3"/>
      <c r="E170" s="13"/>
      <c r="F170" s="3"/>
      <c r="G170" s="3"/>
      <c r="H170" s="3"/>
      <c r="I170" s="3"/>
    </row>
    <row r="171" spans="1:9">
      <c r="A171" s="15"/>
      <c r="B171" s="3"/>
      <c r="C171" s="3"/>
      <c r="D171" s="3"/>
      <c r="E171" s="13"/>
      <c r="F171" s="3"/>
      <c r="G171" s="3"/>
      <c r="H171" s="3"/>
      <c r="I171" s="3"/>
    </row>
    <row r="172" spans="1:9">
      <c r="A172" s="15"/>
      <c r="B172" s="3"/>
      <c r="C172" s="3"/>
      <c r="D172" s="3"/>
      <c r="E172" s="13"/>
      <c r="F172" s="3"/>
      <c r="G172" s="3"/>
      <c r="H172" s="3"/>
      <c r="I172" s="3"/>
    </row>
    <row r="173" spans="1:9">
      <c r="A173" s="15"/>
      <c r="B173" s="3"/>
      <c r="C173" s="3"/>
      <c r="D173" s="3"/>
      <c r="E173" s="13"/>
      <c r="F173" s="3"/>
      <c r="G173" s="3"/>
      <c r="H173" s="3"/>
      <c r="I173" s="3"/>
    </row>
    <row r="174" spans="1:9">
      <c r="A174" s="15"/>
      <c r="B174" s="3"/>
      <c r="C174" s="3"/>
      <c r="D174" s="3"/>
      <c r="E174" s="13"/>
      <c r="F174" s="3"/>
      <c r="G174" s="3"/>
      <c r="H174" s="3"/>
      <c r="I174" s="3"/>
    </row>
    <row r="175" spans="1:9">
      <c r="A175" s="15"/>
      <c r="B175" s="3"/>
      <c r="C175" s="3"/>
      <c r="D175" s="3"/>
      <c r="E175" s="13"/>
      <c r="F175" s="3"/>
      <c r="G175" s="3"/>
      <c r="H175" s="3"/>
      <c r="I175" s="3"/>
    </row>
    <row r="176" spans="1:9">
      <c r="A176" s="15"/>
      <c r="B176" s="3"/>
      <c r="C176" s="3"/>
      <c r="D176" s="3"/>
      <c r="E176" s="13"/>
      <c r="F176" s="3"/>
      <c r="G176" s="3"/>
      <c r="H176" s="3"/>
      <c r="I176" s="3"/>
    </row>
    <row r="177" spans="1:9">
      <c r="A177" s="15"/>
      <c r="B177" s="3"/>
      <c r="C177" s="3"/>
      <c r="D177" s="3"/>
      <c r="E177" s="13"/>
      <c r="F177" s="3"/>
      <c r="G177" s="3"/>
      <c r="H177" s="3"/>
      <c r="I177" s="3"/>
    </row>
    <row r="178" spans="1:9">
      <c r="A178" s="15"/>
      <c r="B178" s="3"/>
      <c r="C178" s="3"/>
      <c r="D178" s="3"/>
      <c r="E178" s="13"/>
      <c r="F178" s="3"/>
      <c r="G178" s="3"/>
      <c r="H178" s="3"/>
      <c r="I178" s="3"/>
    </row>
    <row r="179" spans="1:9">
      <c r="A179" s="15"/>
      <c r="B179" s="3"/>
      <c r="C179" s="3"/>
      <c r="D179" s="3"/>
      <c r="E179" s="13"/>
      <c r="F179" s="3"/>
      <c r="G179" s="3"/>
      <c r="H179" s="3"/>
      <c r="I179" s="3"/>
    </row>
    <row r="180" spans="1:9">
      <c r="A180" s="15"/>
      <c r="B180" s="3"/>
      <c r="C180" s="3"/>
      <c r="D180" s="3"/>
      <c r="E180" s="13"/>
      <c r="F180" s="3"/>
      <c r="G180" s="3"/>
      <c r="H180" s="3"/>
      <c r="I180" s="3"/>
    </row>
  </sheetData>
  <dataValidations count="1">
    <dataValidation type="date" errorStyle="warning" allowBlank="1" showInputMessage="1" showErrorMessage="1" errorTitle="Review date" error="Date may be in an invalid format, in the future, or more than 14 days ago. Check before continuing." promptTitle="Date" prompt="Enter date as dd-mmm-yyyy, e.g. 01-Oct-2026" sqref="A1:A1048576" xr:uid="{BFAB2833-8793-4EE1-87F8-EF99B0461C52}">
      <formula1>TODAY()-14</formula1>
      <formula2>TODAY()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AEA6D8F-0EA9-4E5E-96B4-B483B522B193}">
          <x14:formula1>
            <xm:f>'PoE List'!$A$2:$A$39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70A24-23AF-4215-BA14-E3788A4D5A5E}">
  <dimension ref="A1:G40"/>
  <sheetViews>
    <sheetView workbookViewId="0"/>
  </sheetViews>
  <sheetFormatPr defaultRowHeight="15"/>
  <cols>
    <col min="1" max="1" width="25.7109375" customWidth="1"/>
    <col min="2" max="2" width="17.7109375" customWidth="1"/>
    <col min="3" max="3" width="20" customWidth="1"/>
    <col min="4" max="4" width="10.5703125" customWidth="1"/>
    <col min="5" max="5" width="13.85546875" customWidth="1"/>
    <col min="6" max="6" width="18.5703125" customWidth="1"/>
  </cols>
  <sheetData>
    <row r="1" spans="1:7" ht="28.5">
      <c r="A1" s="1" t="s">
        <v>1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</row>
    <row r="2" spans="1:7" ht="15.75">
      <c r="A2" s="17" t="s">
        <v>20</v>
      </c>
      <c r="B2" s="17" t="s">
        <v>21</v>
      </c>
      <c r="C2" s="17" t="s">
        <v>22</v>
      </c>
      <c r="D2" s="17" t="s">
        <v>23</v>
      </c>
      <c r="E2" s="17">
        <v>29.149028999999999</v>
      </c>
      <c r="F2" s="17">
        <v>4.5064679999999999</v>
      </c>
      <c r="G2" s="17" t="s">
        <v>24</v>
      </c>
    </row>
    <row r="3" spans="1:7" ht="15.75">
      <c r="A3" s="17" t="s">
        <v>25</v>
      </c>
      <c r="B3" s="17" t="s">
        <v>26</v>
      </c>
      <c r="C3" s="17" t="s">
        <v>27</v>
      </c>
      <c r="D3" s="17" t="s">
        <v>28</v>
      </c>
      <c r="E3" s="17">
        <v>31.601790000000001</v>
      </c>
      <c r="F3" s="17">
        <v>4.8664389999999997</v>
      </c>
      <c r="G3" s="17" t="s">
        <v>29</v>
      </c>
    </row>
    <row r="4" spans="1:7" ht="15.75">
      <c r="A4" s="17" t="s">
        <v>30</v>
      </c>
      <c r="B4" s="17" t="s">
        <v>31</v>
      </c>
      <c r="C4" s="17" t="s">
        <v>27</v>
      </c>
      <c r="D4" s="17" t="s">
        <v>32</v>
      </c>
      <c r="E4" s="17">
        <v>31.49</v>
      </c>
      <c r="F4" s="17">
        <v>3.89</v>
      </c>
      <c r="G4" s="17" t="s">
        <v>24</v>
      </c>
    </row>
    <row r="5" spans="1:7" ht="15.75">
      <c r="A5" s="17" t="s">
        <v>33</v>
      </c>
      <c r="B5" s="17" t="s">
        <v>31</v>
      </c>
      <c r="C5" s="17" t="s">
        <v>27</v>
      </c>
      <c r="D5" s="17" t="s">
        <v>32</v>
      </c>
      <c r="E5" s="17">
        <v>31.666666899999999</v>
      </c>
      <c r="F5" s="17">
        <v>3.8847819700000001</v>
      </c>
      <c r="G5" s="17" t="s">
        <v>24</v>
      </c>
    </row>
    <row r="6" spans="1:7" ht="15.75">
      <c r="A6" s="17" t="s">
        <v>34</v>
      </c>
      <c r="B6" s="17" t="s">
        <v>31</v>
      </c>
      <c r="C6" s="17" t="s">
        <v>27</v>
      </c>
      <c r="D6" s="17" t="s">
        <v>32</v>
      </c>
      <c r="E6" s="17">
        <v>31.6586167</v>
      </c>
      <c r="F6" s="17">
        <v>3.72331667</v>
      </c>
      <c r="G6" s="17" t="s">
        <v>24</v>
      </c>
    </row>
    <row r="7" spans="1:7" ht="15.75">
      <c r="A7" s="17" t="s">
        <v>35</v>
      </c>
      <c r="B7" s="17" t="s">
        <v>31</v>
      </c>
      <c r="C7" s="17" t="s">
        <v>27</v>
      </c>
      <c r="D7" s="17" t="s">
        <v>32</v>
      </c>
      <c r="E7" s="17">
        <v>31.310033300000001</v>
      </c>
      <c r="F7" s="17">
        <v>3.7861166700000002</v>
      </c>
      <c r="G7" s="17" t="s">
        <v>24</v>
      </c>
    </row>
    <row r="8" spans="1:7" ht="15.75">
      <c r="A8" s="17" t="s">
        <v>9</v>
      </c>
      <c r="B8" s="17" t="s">
        <v>31</v>
      </c>
      <c r="C8" s="17" t="s">
        <v>36</v>
      </c>
      <c r="D8" s="17" t="s">
        <v>37</v>
      </c>
      <c r="E8" s="17">
        <v>32.067321999999997</v>
      </c>
      <c r="F8" s="17">
        <v>3.5856400000000002</v>
      </c>
      <c r="G8" s="17" t="s">
        <v>24</v>
      </c>
    </row>
    <row r="9" spans="1:7" ht="15.75">
      <c r="A9" s="17" t="s">
        <v>12</v>
      </c>
      <c r="B9" s="17" t="s">
        <v>31</v>
      </c>
      <c r="C9" s="17" t="s">
        <v>36</v>
      </c>
      <c r="D9" s="17" t="s">
        <v>37</v>
      </c>
      <c r="E9" s="17">
        <v>32.043939999999999</v>
      </c>
      <c r="F9" s="17">
        <v>3.595669</v>
      </c>
      <c r="G9" s="17" t="s">
        <v>38</v>
      </c>
    </row>
    <row r="10" spans="1:7" ht="15.75">
      <c r="A10" s="17" t="s">
        <v>13</v>
      </c>
      <c r="B10" s="17" t="s">
        <v>31</v>
      </c>
      <c r="C10" s="17" t="s">
        <v>36</v>
      </c>
      <c r="D10" s="17" t="s">
        <v>37</v>
      </c>
      <c r="E10" s="17">
        <v>32.079161999999997</v>
      </c>
      <c r="F10" s="17">
        <v>3.5720040000000002</v>
      </c>
      <c r="G10" s="17" t="s">
        <v>24</v>
      </c>
    </row>
    <row r="11" spans="1:7" ht="15.75">
      <c r="A11" s="17" t="s">
        <v>39</v>
      </c>
      <c r="B11" s="17" t="s">
        <v>31</v>
      </c>
      <c r="C11" s="17" t="s">
        <v>36</v>
      </c>
      <c r="D11" s="17" t="s">
        <v>37</v>
      </c>
      <c r="E11" s="17">
        <v>32.51735</v>
      </c>
      <c r="F11" s="17">
        <v>3.7665999999999999</v>
      </c>
      <c r="G11" s="17" t="s">
        <v>24</v>
      </c>
    </row>
    <row r="12" spans="1:7" ht="15.75">
      <c r="A12" s="17" t="s">
        <v>40</v>
      </c>
      <c r="B12" s="17" t="s">
        <v>31</v>
      </c>
      <c r="C12" s="17" t="s">
        <v>36</v>
      </c>
      <c r="D12" s="17" t="s">
        <v>37</v>
      </c>
      <c r="E12" s="17">
        <v>32.7248181</v>
      </c>
      <c r="F12" s="17">
        <v>3.7932583700000002</v>
      </c>
      <c r="G12" s="17" t="s">
        <v>24</v>
      </c>
    </row>
    <row r="13" spans="1:7" ht="15.75">
      <c r="A13" s="17" t="s">
        <v>41</v>
      </c>
      <c r="B13" s="17" t="s">
        <v>21</v>
      </c>
      <c r="C13" s="17" t="s">
        <v>22</v>
      </c>
      <c r="D13" s="17" t="s">
        <v>42</v>
      </c>
      <c r="E13" s="17">
        <v>29.860761</v>
      </c>
      <c r="F13" s="17">
        <v>4.5994919999999997</v>
      </c>
      <c r="G13" s="17" t="s">
        <v>24</v>
      </c>
    </row>
    <row r="14" spans="1:7" ht="15.75">
      <c r="A14" s="17" t="s">
        <v>11</v>
      </c>
      <c r="B14" s="17" t="s">
        <v>43</v>
      </c>
      <c r="C14" s="17" t="s">
        <v>27</v>
      </c>
      <c r="D14" s="17" t="s">
        <v>44</v>
      </c>
      <c r="E14" s="17">
        <v>30.938949999999998</v>
      </c>
      <c r="F14" s="17">
        <v>3.7853349999999999</v>
      </c>
      <c r="G14" s="17" t="s">
        <v>24</v>
      </c>
    </row>
    <row r="15" spans="1:7" ht="15.75">
      <c r="A15" s="17" t="s">
        <v>45</v>
      </c>
      <c r="B15" s="17" t="s">
        <v>31</v>
      </c>
      <c r="C15" s="17" t="s">
        <v>27</v>
      </c>
      <c r="D15" s="17" t="s">
        <v>44</v>
      </c>
      <c r="E15" s="17"/>
      <c r="F15" s="17"/>
      <c r="G15" s="17" t="s">
        <v>24</v>
      </c>
    </row>
    <row r="16" spans="1:7" ht="15.75">
      <c r="A16" s="17" t="s">
        <v>46</v>
      </c>
      <c r="B16" s="17" t="s">
        <v>31</v>
      </c>
      <c r="C16" s="17" t="s">
        <v>27</v>
      </c>
      <c r="D16" s="17" t="s">
        <v>44</v>
      </c>
      <c r="E16" s="17">
        <v>31.035550000000001</v>
      </c>
      <c r="F16" s="17">
        <v>3.716567</v>
      </c>
      <c r="G16" s="17" t="s">
        <v>24</v>
      </c>
    </row>
    <row r="17" spans="1:7" ht="15.75">
      <c r="A17" s="17" t="s">
        <v>47</v>
      </c>
      <c r="B17" s="17" t="s">
        <v>21</v>
      </c>
      <c r="C17" s="17" t="s">
        <v>27</v>
      </c>
      <c r="D17" s="17" t="s">
        <v>44</v>
      </c>
      <c r="E17" s="17">
        <v>30.464752699999998</v>
      </c>
      <c r="F17" s="17">
        <v>3.94666249</v>
      </c>
      <c r="G17" s="17" t="s">
        <v>24</v>
      </c>
    </row>
    <row r="18" spans="1:7" ht="15.75">
      <c r="A18" s="17" t="s">
        <v>48</v>
      </c>
      <c r="B18" s="17" t="s">
        <v>21</v>
      </c>
      <c r="C18" s="17" t="s">
        <v>27</v>
      </c>
      <c r="D18" s="17" t="s">
        <v>44</v>
      </c>
      <c r="E18" s="17"/>
      <c r="F18" s="17"/>
      <c r="G18" s="17" t="s">
        <v>24</v>
      </c>
    </row>
    <row r="19" spans="1:7" ht="15.75">
      <c r="A19" s="17" t="s">
        <v>49</v>
      </c>
      <c r="B19" s="17" t="s">
        <v>21</v>
      </c>
      <c r="C19" s="17" t="s">
        <v>22</v>
      </c>
      <c r="D19" s="17" t="s">
        <v>50</v>
      </c>
      <c r="E19" s="17">
        <v>28.123726999999999</v>
      </c>
      <c r="F19" s="17">
        <v>4.5987920000000004</v>
      </c>
      <c r="G19" s="17" t="s">
        <v>24</v>
      </c>
    </row>
    <row r="20" spans="1:7" ht="15.75">
      <c r="A20" s="17" t="s">
        <v>51</v>
      </c>
      <c r="B20" s="17" t="s">
        <v>52</v>
      </c>
      <c r="C20" s="17" t="s">
        <v>22</v>
      </c>
      <c r="D20" s="17" t="s">
        <v>53</v>
      </c>
      <c r="E20" s="17">
        <v>27.495648299999999</v>
      </c>
      <c r="F20" s="17">
        <v>5.6474633000000001</v>
      </c>
      <c r="G20" s="17" t="s">
        <v>24</v>
      </c>
    </row>
    <row r="21" spans="1:7" ht="15.75">
      <c r="A21" s="17" t="s">
        <v>54</v>
      </c>
      <c r="B21" s="17" t="s">
        <v>52</v>
      </c>
      <c r="C21" s="17" t="s">
        <v>22</v>
      </c>
      <c r="D21" s="17" t="s">
        <v>53</v>
      </c>
      <c r="E21" s="17">
        <v>27.916308000000001</v>
      </c>
      <c r="F21" s="17">
        <v>4.6848000000000001</v>
      </c>
      <c r="G21" s="17" t="s">
        <v>24</v>
      </c>
    </row>
    <row r="22" spans="1:7" ht="15.75">
      <c r="A22" s="17" t="s">
        <v>55</v>
      </c>
      <c r="B22" s="17" t="s">
        <v>21</v>
      </c>
      <c r="C22" s="17" t="s">
        <v>22</v>
      </c>
      <c r="D22" s="17" t="s">
        <v>56</v>
      </c>
      <c r="E22" s="17">
        <v>28.568109</v>
      </c>
      <c r="F22" s="17">
        <v>4.3872261999999997</v>
      </c>
      <c r="G22" s="17" t="s">
        <v>24</v>
      </c>
    </row>
    <row r="23" spans="1:7" ht="15.75">
      <c r="A23" s="17" t="s">
        <v>57</v>
      </c>
      <c r="B23" s="17" t="s">
        <v>21</v>
      </c>
      <c r="C23" s="17" t="s">
        <v>22</v>
      </c>
      <c r="D23" s="17" t="s">
        <v>56</v>
      </c>
      <c r="E23" s="17">
        <v>28.424075999999999</v>
      </c>
      <c r="F23" s="17">
        <v>4.5672750000000004</v>
      </c>
      <c r="G23" s="17" t="s">
        <v>24</v>
      </c>
    </row>
    <row r="24" spans="1:7" ht="15.75">
      <c r="A24" s="17" t="s">
        <v>58</v>
      </c>
      <c r="B24" s="17" t="s">
        <v>21</v>
      </c>
      <c r="C24" s="17" t="s">
        <v>22</v>
      </c>
      <c r="D24" s="17" t="s">
        <v>56</v>
      </c>
      <c r="E24" s="17">
        <v>28.211663999999999</v>
      </c>
      <c r="F24" s="17">
        <v>4.3965399999999999</v>
      </c>
      <c r="G24" s="17" t="s">
        <v>24</v>
      </c>
    </row>
    <row r="25" spans="1:7" ht="15.75">
      <c r="A25" s="17" t="s">
        <v>59</v>
      </c>
      <c r="B25" s="17" t="s">
        <v>21</v>
      </c>
      <c r="C25" s="17" t="s">
        <v>27</v>
      </c>
      <c r="D25" s="17" t="s">
        <v>60</v>
      </c>
      <c r="E25" s="17">
        <v>30.607597599999998</v>
      </c>
      <c r="F25" s="17">
        <v>3.8870472</v>
      </c>
      <c r="G25" s="17" t="s">
        <v>24</v>
      </c>
    </row>
    <row r="26" spans="1:7" ht="15.75">
      <c r="A26" s="17" t="s">
        <v>61</v>
      </c>
      <c r="B26" s="17" t="s">
        <v>21</v>
      </c>
      <c r="C26" s="17" t="s">
        <v>27</v>
      </c>
      <c r="D26" s="17" t="s">
        <v>60</v>
      </c>
      <c r="E26" s="17">
        <v>30.6199783</v>
      </c>
      <c r="F26" s="17">
        <v>4.1246650699999998</v>
      </c>
      <c r="G26" s="17" t="s">
        <v>24</v>
      </c>
    </row>
    <row r="27" spans="1:7" ht="15.75">
      <c r="A27" s="17" t="s">
        <v>62</v>
      </c>
      <c r="B27" s="17" t="s">
        <v>21</v>
      </c>
      <c r="C27" s="17" t="s">
        <v>27</v>
      </c>
      <c r="D27" s="17" t="s">
        <v>60</v>
      </c>
      <c r="E27" s="17">
        <v>29.98</v>
      </c>
      <c r="F27" s="17">
        <v>4.62</v>
      </c>
      <c r="G27" s="17" t="s">
        <v>24</v>
      </c>
    </row>
    <row r="28" spans="1:7" ht="15.75">
      <c r="A28" s="17" t="s">
        <v>63</v>
      </c>
      <c r="B28" s="17" t="s">
        <v>21</v>
      </c>
      <c r="C28" s="17" t="s">
        <v>27</v>
      </c>
      <c r="D28" s="17" t="s">
        <v>60</v>
      </c>
      <c r="E28" s="17">
        <v>30.738223999999999</v>
      </c>
      <c r="F28" s="17">
        <v>4.1274870000000004</v>
      </c>
      <c r="G28" s="17" t="s">
        <v>24</v>
      </c>
    </row>
    <row r="29" spans="1:7" ht="15.75">
      <c r="A29" s="17" t="s">
        <v>64</v>
      </c>
      <c r="B29" s="17" t="s">
        <v>21</v>
      </c>
      <c r="C29" s="17" t="s">
        <v>27</v>
      </c>
      <c r="D29" s="17" t="s">
        <v>60</v>
      </c>
      <c r="E29" s="17">
        <v>30.669155</v>
      </c>
      <c r="F29" s="17">
        <v>4.0921690000000002</v>
      </c>
      <c r="G29" s="17" t="s">
        <v>65</v>
      </c>
    </row>
    <row r="30" spans="1:7" ht="15.75">
      <c r="A30" s="17" t="s">
        <v>66</v>
      </c>
      <c r="B30" s="17" t="s">
        <v>21</v>
      </c>
      <c r="C30" s="17" t="s">
        <v>27</v>
      </c>
      <c r="D30" s="17" t="s">
        <v>60</v>
      </c>
      <c r="E30" s="17">
        <v>30.593409000000001</v>
      </c>
      <c r="F30" s="17">
        <v>3.8220149999999999</v>
      </c>
      <c r="G30" s="17" t="s">
        <v>24</v>
      </c>
    </row>
    <row r="31" spans="1:7" ht="15.75">
      <c r="A31" s="17" t="s">
        <v>67</v>
      </c>
      <c r="B31" s="17" t="s">
        <v>21</v>
      </c>
      <c r="C31" s="17" t="s">
        <v>22</v>
      </c>
      <c r="D31" s="17" t="s">
        <v>50</v>
      </c>
      <c r="E31" s="17">
        <v>28.0576246</v>
      </c>
      <c r="F31" s="17">
        <v>4.6851409300000002</v>
      </c>
      <c r="G31" s="17" t="s">
        <v>24</v>
      </c>
    </row>
    <row r="32" spans="1:7" ht="15.75">
      <c r="A32" s="17" t="s">
        <v>68</v>
      </c>
      <c r="B32" s="17" t="s">
        <v>69</v>
      </c>
      <c r="C32" s="17" t="s">
        <v>22</v>
      </c>
      <c r="D32" s="17" t="s">
        <v>70</v>
      </c>
      <c r="E32" s="17"/>
      <c r="F32" s="17"/>
      <c r="G32" s="17" t="s">
        <v>24</v>
      </c>
    </row>
    <row r="33" spans="1:7" ht="15.75">
      <c r="A33" s="17" t="s">
        <v>71</v>
      </c>
      <c r="B33" s="17" t="s">
        <v>26</v>
      </c>
      <c r="C33" s="17" t="s">
        <v>72</v>
      </c>
      <c r="D33" s="17" t="s">
        <v>73</v>
      </c>
      <c r="E33" s="17">
        <v>27.978839000000001</v>
      </c>
      <c r="F33" s="17">
        <v>7.7247979999999998</v>
      </c>
      <c r="G33" s="17" t="s">
        <v>29</v>
      </c>
    </row>
    <row r="34" spans="1:7" ht="15.75">
      <c r="A34" s="17" t="s">
        <v>74</v>
      </c>
      <c r="B34" s="17" t="s">
        <v>31</v>
      </c>
      <c r="C34" s="17" t="s">
        <v>36</v>
      </c>
      <c r="D34" s="17" t="s">
        <v>75</v>
      </c>
      <c r="E34" s="17">
        <v>33.15</v>
      </c>
      <c r="F34" s="17">
        <v>3.8833332999999999</v>
      </c>
      <c r="G34" s="17" t="s">
        <v>24</v>
      </c>
    </row>
    <row r="35" spans="1:7" ht="15.75">
      <c r="A35" s="17" t="s">
        <v>76</v>
      </c>
      <c r="B35" s="17" t="s">
        <v>31</v>
      </c>
      <c r="C35" s="17" t="s">
        <v>36</v>
      </c>
      <c r="D35" s="17" t="s">
        <v>75</v>
      </c>
      <c r="E35" s="17">
        <v>33.573391700000002</v>
      </c>
      <c r="F35" s="17">
        <v>3.8628125799999999</v>
      </c>
      <c r="G35" s="17" t="s">
        <v>24</v>
      </c>
    </row>
    <row r="36" spans="1:7" ht="15.75">
      <c r="A36" s="17" t="s">
        <v>77</v>
      </c>
      <c r="B36" s="17" t="s">
        <v>31</v>
      </c>
      <c r="C36" s="17" t="s">
        <v>36</v>
      </c>
      <c r="D36" s="17" t="s">
        <v>75</v>
      </c>
      <c r="E36" s="17">
        <v>32.776535000000003</v>
      </c>
      <c r="F36" s="17">
        <v>4.0364300000000002</v>
      </c>
      <c r="G36" s="17" t="s">
        <v>24</v>
      </c>
    </row>
    <row r="37" spans="1:7" ht="15.75">
      <c r="A37" s="17" t="s">
        <v>78</v>
      </c>
      <c r="B37" s="17" t="s">
        <v>31</v>
      </c>
      <c r="C37" s="17" t="s">
        <v>36</v>
      </c>
      <c r="D37" s="17" t="s">
        <v>75</v>
      </c>
      <c r="E37" s="17">
        <v>33.196661599999999</v>
      </c>
      <c r="F37" s="17">
        <v>3.8545968300000002</v>
      </c>
      <c r="G37" s="17" t="s">
        <v>24</v>
      </c>
    </row>
    <row r="38" spans="1:7" ht="15.75">
      <c r="A38" s="17" t="s">
        <v>79</v>
      </c>
      <c r="B38" s="17" t="s">
        <v>80</v>
      </c>
      <c r="C38" s="17" t="s">
        <v>36</v>
      </c>
      <c r="D38" s="17" t="s">
        <v>81</v>
      </c>
      <c r="E38" s="17">
        <v>33.845089999999999</v>
      </c>
      <c r="F38" s="17">
        <v>5.1671899999999997</v>
      </c>
      <c r="G38" s="17" t="s">
        <v>24</v>
      </c>
    </row>
    <row r="39" spans="1:7" ht="15.75">
      <c r="A39" s="17" t="s">
        <v>82</v>
      </c>
      <c r="B39" s="17" t="s">
        <v>26</v>
      </c>
      <c r="C39" s="17" t="s">
        <v>36</v>
      </c>
      <c r="D39" s="17" t="s">
        <v>83</v>
      </c>
      <c r="E39" s="17">
        <v>32.578861000000003</v>
      </c>
      <c r="F39" s="17">
        <v>4.4121560000000004</v>
      </c>
      <c r="G39" s="17" t="s">
        <v>65</v>
      </c>
    </row>
    <row r="40" spans="1:7" ht="15.75">
      <c r="A40" s="17" t="s">
        <v>84</v>
      </c>
      <c r="B40" s="17" t="s">
        <v>26</v>
      </c>
      <c r="C40" s="17" t="s">
        <v>36</v>
      </c>
      <c r="D40" s="17" t="s">
        <v>85</v>
      </c>
      <c r="E40" s="17">
        <v>33.488703999999998</v>
      </c>
      <c r="F40" s="17">
        <v>4.1962770000000003</v>
      </c>
      <c r="G40" s="17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236BA-578E-4B59-9387-E521721F43CE}">
  <dimension ref="A1:Q44"/>
  <sheetViews>
    <sheetView workbookViewId="0">
      <selection activeCell="C6" sqref="C6"/>
    </sheetView>
  </sheetViews>
  <sheetFormatPr defaultRowHeight="15"/>
  <cols>
    <col min="1" max="1" width="14" customWidth="1"/>
    <col min="2" max="2" width="22.42578125" customWidth="1"/>
    <col min="3" max="3" width="14.28515625" customWidth="1"/>
    <col min="4" max="4" width="12.5703125" customWidth="1"/>
    <col min="5" max="5" width="11.5703125" customWidth="1"/>
    <col min="6" max="6" width="11.28515625" customWidth="1"/>
    <col min="7" max="7" width="13.85546875" customWidth="1"/>
    <col min="8" max="8" width="16.28515625" customWidth="1"/>
    <col min="9" max="9" width="13" customWidth="1"/>
    <col min="10" max="10" width="12.85546875" customWidth="1"/>
    <col min="11" max="11" width="14.42578125" customWidth="1"/>
    <col min="12" max="12" width="14.5703125" customWidth="1"/>
    <col min="13" max="13" width="15.140625" customWidth="1"/>
    <col min="14" max="14" width="20.5703125" customWidth="1"/>
    <col min="15" max="15" width="11.7109375" customWidth="1"/>
    <col min="16" max="16" width="13.5703125" customWidth="1"/>
    <col min="17" max="17" width="12.140625" customWidth="1"/>
  </cols>
  <sheetData>
    <row r="1" spans="1:17" ht="18">
      <c r="A1" s="19" t="s">
        <v>86</v>
      </c>
      <c r="B1" s="19"/>
      <c r="C1" s="19"/>
    </row>
    <row r="2" spans="1:17">
      <c r="A2" s="6" t="s">
        <v>87</v>
      </c>
      <c r="B2" s="10">
        <f ca="1">TODAY()-14</f>
        <v>46293</v>
      </c>
      <c r="C2" s="9" t="s">
        <v>88</v>
      </c>
    </row>
    <row r="4" spans="1:17">
      <c r="A4" s="1" t="s">
        <v>1</v>
      </c>
      <c r="B4" s="2" t="s">
        <v>89</v>
      </c>
      <c r="C4" s="2" t="s">
        <v>90</v>
      </c>
      <c r="D4" s="11">
        <f ca="1">$B$2+0</f>
        <v>46293</v>
      </c>
      <c r="E4" s="11">
        <f ca="1">$B$2+1</f>
        <v>46294</v>
      </c>
      <c r="F4" s="11">
        <f ca="1">$B$2+2</f>
        <v>46295</v>
      </c>
      <c r="G4" s="11">
        <f ca="1">$B$2+4</f>
        <v>46297</v>
      </c>
      <c r="H4" s="11">
        <f ca="1">$B$2+5</f>
        <v>46298</v>
      </c>
      <c r="I4" s="11">
        <f ca="1">$B$2+6</f>
        <v>46299</v>
      </c>
      <c r="J4" s="11">
        <f ca="1">$B$2+7</f>
        <v>46300</v>
      </c>
      <c r="K4" s="11">
        <f ca="1">$B$2+8</f>
        <v>46301</v>
      </c>
      <c r="L4" s="11">
        <f ca="1">$B$2+9</f>
        <v>46302</v>
      </c>
      <c r="M4" s="11">
        <f ca="1">$B$2+10</f>
        <v>46303</v>
      </c>
      <c r="N4" s="11">
        <f ca="1">$B$2+11</f>
        <v>46304</v>
      </c>
      <c r="O4" s="11">
        <f ca="1">$B$2+12</f>
        <v>46305</v>
      </c>
      <c r="P4" s="11">
        <f ca="1">$B$2+13</f>
        <v>46306</v>
      </c>
      <c r="Q4" s="11">
        <f ca="1">$B$2+14</f>
        <v>46307</v>
      </c>
    </row>
    <row r="5" spans="1:17" ht="15.75">
      <c r="A5" s="17" t="s">
        <v>20</v>
      </c>
      <c r="B5" s="4">
        <f ca="1">COUNTIF(D10:Q10,"✓")</f>
        <v>0</v>
      </c>
      <c r="C5" s="4" t="str">
        <f>IF(COUNTIF('Daily entry'!$B$2:$B$3001,$A10)=0,"Never",_xlfn.MAXIFS('Daily entry'!$A$2:$A$3001,'Daily entry'!$B$2:$B$3001,$A10))</f>
        <v>Never</v>
      </c>
      <c r="D5" s="5" t="str">
        <f ca="1">IF(COUNTIFS('Daily entry'!$A$2:$A$3001,D$4,'Daily entry'!$B$2:$B$3001,$A5)&gt;0,"✓","✗")</f>
        <v>✗</v>
      </c>
      <c r="E5" s="5" t="str">
        <f ca="1">IF(COUNTIFS('Daily entry'!$A$2:$A$3001,E$4,'Daily entry'!$B$2:$B$3001,$A5)&gt;0,"✓","✗")</f>
        <v>✗</v>
      </c>
      <c r="F5" s="5" t="str">
        <f ca="1">IF(COUNTIFS('Daily entry'!$A$2:$A$3001,F$4,'Daily entry'!$B$2:$B$3001,$A5)&gt;0,"✓","✗")</f>
        <v>✗</v>
      </c>
      <c r="G5" s="5" t="str">
        <f ca="1">IF(COUNTIFS('Daily entry'!$A$2:$A$3001,G$4,'Daily entry'!$B$2:$B$3001,$A5)&gt;0,"✓","✗")</f>
        <v>✗</v>
      </c>
      <c r="H5" s="5" t="str">
        <f ca="1">IF(COUNTIFS('Daily entry'!$A$2:$A$3001,H$4,'Daily entry'!$B$2:$B$3001,$A5)&gt;0,"✓","✗")</f>
        <v>✗</v>
      </c>
      <c r="I5" s="5" t="str">
        <f ca="1">IF(COUNTIFS('Daily entry'!$A$2:$A$3001,I$4,'Daily entry'!$B$2:$B$3001,$A5)&gt;0,"✓","✗")</f>
        <v>✗</v>
      </c>
      <c r="J5" s="5" t="str">
        <f ca="1">IF(COUNTIFS('Daily entry'!$A$2:$A$3001,J$4,'Daily entry'!$B$2:$B$3001,$A5)&gt;0,"✓","✗")</f>
        <v>✗</v>
      </c>
      <c r="K5" s="5" t="str">
        <f ca="1">IF(COUNTIFS('Daily entry'!$A$2:$A$3001,K$4,'Daily entry'!$B$2:$B$3001,$A5)&gt;0,"✓","✗")</f>
        <v>✗</v>
      </c>
      <c r="L5" s="5" t="str">
        <f ca="1">IF(COUNTIFS('Daily entry'!$A$2:$A$3001,L$4,'Daily entry'!$B$2:$B$3001,$A5)&gt;0,"✓","✗")</f>
        <v>✗</v>
      </c>
      <c r="M5" s="5" t="str">
        <f ca="1">IF(COUNTIFS('Daily entry'!$A$2:$A$3001,M$4,'Daily entry'!$B$2:$B$3001,$A5)&gt;0,"✓","✗")</f>
        <v>✗</v>
      </c>
      <c r="N5" s="5" t="str">
        <f ca="1">IF(COUNTIFS('Daily entry'!$A$2:$A$3001,N$4,'Daily entry'!$B$2:$B$3001,$A5)&gt;0,"✓","✗")</f>
        <v>✗</v>
      </c>
      <c r="O5" s="5" t="str">
        <f ca="1">IF(COUNTIFS('Daily entry'!$A$2:$A$3001,O$4,'Daily entry'!$B$2:$B$3001,$A5)&gt;0,"✓","✗")</f>
        <v>✗</v>
      </c>
      <c r="P5" s="5" t="str">
        <f ca="1">IF(COUNTIFS('Daily entry'!$A$2:$A$3001,P$4,'Daily entry'!$B$2:$B$3001,$A5)&gt;0,"✓","✗")</f>
        <v>✗</v>
      </c>
      <c r="Q5" s="5" t="str">
        <f ca="1">IF(COUNTIFS('Daily entry'!$A$2:$A$3001,Q$4,'Daily entry'!$B$2:$B$3001,$A5)&gt;0,"✓","✗")</f>
        <v>✗</v>
      </c>
    </row>
    <row r="6" spans="1:17" ht="15.75">
      <c r="A6" s="17" t="s">
        <v>25</v>
      </c>
      <c r="B6" s="4">
        <f t="shared" ref="B6:B43" ca="1" si="0">COUNTIF(D11:Q11,"✓")</f>
        <v>8</v>
      </c>
      <c r="C6" s="4">
        <f>IF(COUNTIF('Daily entry'!$B$2:$B$3001,$A11)=0,"Never",_xlfn.MAXIFS('Daily entry'!$A$2:$A$3001,'Daily entry'!$B$2:$B$3001,$A11))</f>
        <v>46303</v>
      </c>
      <c r="D6" s="5" t="str">
        <f ca="1">IF(COUNTIFS('Daily entry'!$A$2:$A$3001,D$4,'Daily entry'!$B$2:$B$3001,$A6)&gt;0,"✓","✗")</f>
        <v>✗</v>
      </c>
      <c r="E6" s="5" t="str">
        <f ca="1">IF(COUNTIFS('Daily entry'!$A$2:$A$3001,E$4,'Daily entry'!$B$2:$B$3001,$A6)&gt;0,"✓","✗")</f>
        <v>✗</v>
      </c>
      <c r="F6" s="5" t="str">
        <f ca="1">IF(COUNTIFS('Daily entry'!$A$2:$A$3001,F$4,'Daily entry'!$B$2:$B$3001,$A6)&gt;0,"✓","✗")</f>
        <v>✗</v>
      </c>
      <c r="G6" s="5" t="str">
        <f ca="1">IF(COUNTIFS('Daily entry'!$A$2:$A$3001,G$4,'Daily entry'!$B$2:$B$3001,$A6)&gt;0,"✓","✗")</f>
        <v>✗</v>
      </c>
      <c r="H6" s="5" t="str">
        <f ca="1">IF(COUNTIFS('Daily entry'!$A$2:$A$3001,H$4,'Daily entry'!$B$2:$B$3001,$A6)&gt;0,"✓","✗")</f>
        <v>✗</v>
      </c>
      <c r="I6" s="5" t="str">
        <f ca="1">IF(COUNTIFS('Daily entry'!$A$2:$A$3001,I$4,'Daily entry'!$B$2:$B$3001,$A6)&gt;0,"✓","✗")</f>
        <v>✗</v>
      </c>
      <c r="J6" s="5" t="str">
        <f ca="1">IF(COUNTIFS('Daily entry'!$A$2:$A$3001,J$4,'Daily entry'!$B$2:$B$3001,$A6)&gt;0,"✓","✗")</f>
        <v>✗</v>
      </c>
      <c r="K6" s="5" t="str">
        <f ca="1">IF(COUNTIFS('Daily entry'!$A$2:$A$3001,K$4,'Daily entry'!$B$2:$B$3001,$A6)&gt;0,"✓","✗")</f>
        <v>✗</v>
      </c>
      <c r="L6" s="5" t="str">
        <f ca="1">IF(COUNTIFS('Daily entry'!$A$2:$A$3001,L$4,'Daily entry'!$B$2:$B$3001,$A6)&gt;0,"✓","✗")</f>
        <v>✗</v>
      </c>
      <c r="M6" s="5" t="str">
        <f ca="1">IF(COUNTIFS('Daily entry'!$A$2:$A$3001,M$4,'Daily entry'!$B$2:$B$3001,$A6)&gt;0,"✓","✗")</f>
        <v>✗</v>
      </c>
      <c r="N6" s="5" t="str">
        <f ca="1">IF(COUNTIFS('Daily entry'!$A$2:$A$3001,N$4,'Daily entry'!$B$2:$B$3001,$A6)&gt;0,"✓","✗")</f>
        <v>✗</v>
      </c>
      <c r="O6" s="5" t="str">
        <f ca="1">IF(COUNTIFS('Daily entry'!$A$2:$A$3001,O$4,'Daily entry'!$B$2:$B$3001,$A6)&gt;0,"✓","✗")</f>
        <v>✗</v>
      </c>
      <c r="P6" s="5" t="str">
        <f ca="1">IF(COUNTIFS('Daily entry'!$A$2:$A$3001,P$4,'Daily entry'!$B$2:$B$3001,$A6)&gt;0,"✓","✗")</f>
        <v>✗</v>
      </c>
      <c r="Q6" s="5" t="str">
        <f ca="1">IF(COUNTIFS('Daily entry'!$A$2:$A$3001,Q$4,'Daily entry'!$B$2:$B$3001,$A6)&gt;0,"✓","✗")</f>
        <v>✗</v>
      </c>
    </row>
    <row r="7" spans="1:17" ht="15.75">
      <c r="A7" s="17" t="s">
        <v>30</v>
      </c>
      <c r="B7" s="4">
        <f t="shared" ca="1" si="0"/>
        <v>8</v>
      </c>
      <c r="C7" s="4">
        <f>IF(COUNTIF('Daily entry'!$B$2:$B$3001,$A12)=0,"Never",_xlfn.MAXIFS('Daily entry'!$A$2:$A$3001,'Daily entry'!$B$2:$B$3001,$A12))</f>
        <v>46303</v>
      </c>
      <c r="D7" s="5" t="str">
        <f ca="1">IF(COUNTIFS('Daily entry'!$A$2:$A$3001,D$4,'Daily entry'!$B$2:$B$3001,$A7)&gt;0,"✓","✗")</f>
        <v>✗</v>
      </c>
      <c r="E7" s="5" t="str">
        <f ca="1">IF(COUNTIFS('Daily entry'!$A$2:$A$3001,E$4,'Daily entry'!$B$2:$B$3001,$A7)&gt;0,"✓","✗")</f>
        <v>✗</v>
      </c>
      <c r="F7" s="5" t="str">
        <f ca="1">IF(COUNTIFS('Daily entry'!$A$2:$A$3001,F$4,'Daily entry'!$B$2:$B$3001,$A7)&gt;0,"✓","✗")</f>
        <v>✗</v>
      </c>
      <c r="G7" s="5" t="str">
        <f ca="1">IF(COUNTIFS('Daily entry'!$A$2:$A$3001,G$4,'Daily entry'!$B$2:$B$3001,$A7)&gt;0,"✓","✗")</f>
        <v>✗</v>
      </c>
      <c r="H7" s="5" t="str">
        <f ca="1">IF(COUNTIFS('Daily entry'!$A$2:$A$3001,H$4,'Daily entry'!$B$2:$B$3001,$A7)&gt;0,"✓","✗")</f>
        <v>✗</v>
      </c>
      <c r="I7" s="5" t="str">
        <f ca="1">IF(COUNTIFS('Daily entry'!$A$2:$A$3001,I$4,'Daily entry'!$B$2:$B$3001,$A7)&gt;0,"✓","✗")</f>
        <v>✗</v>
      </c>
      <c r="J7" s="5" t="str">
        <f ca="1">IF(COUNTIFS('Daily entry'!$A$2:$A$3001,J$4,'Daily entry'!$B$2:$B$3001,$A7)&gt;0,"✓","✗")</f>
        <v>✗</v>
      </c>
      <c r="K7" s="5" t="str">
        <f ca="1">IF(COUNTIFS('Daily entry'!$A$2:$A$3001,K$4,'Daily entry'!$B$2:$B$3001,$A7)&gt;0,"✓","✗")</f>
        <v>✗</v>
      </c>
      <c r="L7" s="5" t="str">
        <f ca="1">IF(COUNTIFS('Daily entry'!$A$2:$A$3001,L$4,'Daily entry'!$B$2:$B$3001,$A7)&gt;0,"✓","✗")</f>
        <v>✗</v>
      </c>
      <c r="M7" s="5" t="str">
        <f ca="1">IF(COUNTIFS('Daily entry'!$A$2:$A$3001,M$4,'Daily entry'!$B$2:$B$3001,$A7)&gt;0,"✓","✗")</f>
        <v>✗</v>
      </c>
      <c r="N7" s="5" t="str">
        <f ca="1">IF(COUNTIFS('Daily entry'!$A$2:$A$3001,N$4,'Daily entry'!$B$2:$B$3001,$A7)&gt;0,"✓","✗")</f>
        <v>✗</v>
      </c>
      <c r="O7" s="5" t="str">
        <f ca="1">IF(COUNTIFS('Daily entry'!$A$2:$A$3001,O$4,'Daily entry'!$B$2:$B$3001,$A7)&gt;0,"✓","✗")</f>
        <v>✗</v>
      </c>
      <c r="P7" s="5" t="str">
        <f ca="1">IF(COUNTIFS('Daily entry'!$A$2:$A$3001,P$4,'Daily entry'!$B$2:$B$3001,$A7)&gt;0,"✓","✗")</f>
        <v>✗</v>
      </c>
      <c r="Q7" s="5" t="str">
        <f ca="1">IF(COUNTIFS('Daily entry'!$A$2:$A$3001,Q$4,'Daily entry'!$B$2:$B$3001,$A7)&gt;0,"✓","✗")</f>
        <v>✗</v>
      </c>
    </row>
    <row r="8" spans="1:17" ht="15.75">
      <c r="A8" s="17" t="s">
        <v>33</v>
      </c>
      <c r="B8" s="4">
        <f t="shared" ca="1" si="0"/>
        <v>8</v>
      </c>
      <c r="C8" s="4">
        <f>IF(COUNTIF('Daily entry'!$B$2:$B$3001,$A13)=0,"Never",_xlfn.MAXIFS('Daily entry'!$A$2:$A$3001,'Daily entry'!$B$2:$B$3001,$A13))</f>
        <v>46303</v>
      </c>
      <c r="D8" s="5" t="str">
        <f ca="1">IF(COUNTIFS('Daily entry'!$A$2:$A$3001,D$4,'Daily entry'!$B$2:$B$3001,$A8)&gt;0,"✓","✗")</f>
        <v>✗</v>
      </c>
      <c r="E8" s="5" t="str">
        <f ca="1">IF(COUNTIFS('Daily entry'!$A$2:$A$3001,E$4,'Daily entry'!$B$2:$B$3001,$A8)&gt;0,"✓","✗")</f>
        <v>✗</v>
      </c>
      <c r="F8" s="5" t="str">
        <f ca="1">IF(COUNTIFS('Daily entry'!$A$2:$A$3001,F$4,'Daily entry'!$B$2:$B$3001,$A8)&gt;0,"✓","✗")</f>
        <v>✗</v>
      </c>
      <c r="G8" s="5" t="str">
        <f ca="1">IF(COUNTIFS('Daily entry'!$A$2:$A$3001,G$4,'Daily entry'!$B$2:$B$3001,$A8)&gt;0,"✓","✗")</f>
        <v>✗</v>
      </c>
      <c r="H8" s="5" t="str">
        <f ca="1">IF(COUNTIFS('Daily entry'!$A$2:$A$3001,H$4,'Daily entry'!$B$2:$B$3001,$A8)&gt;0,"✓","✗")</f>
        <v>✗</v>
      </c>
      <c r="I8" s="5" t="str">
        <f ca="1">IF(COUNTIFS('Daily entry'!$A$2:$A$3001,I$4,'Daily entry'!$B$2:$B$3001,$A8)&gt;0,"✓","✗")</f>
        <v>✗</v>
      </c>
      <c r="J8" s="5" t="str">
        <f ca="1">IF(COUNTIFS('Daily entry'!$A$2:$A$3001,J$4,'Daily entry'!$B$2:$B$3001,$A8)&gt;0,"✓","✗")</f>
        <v>✗</v>
      </c>
      <c r="K8" s="5" t="str">
        <f ca="1">IF(COUNTIFS('Daily entry'!$A$2:$A$3001,K$4,'Daily entry'!$B$2:$B$3001,$A8)&gt;0,"✓","✗")</f>
        <v>✗</v>
      </c>
      <c r="L8" s="5" t="str">
        <f ca="1">IF(COUNTIFS('Daily entry'!$A$2:$A$3001,L$4,'Daily entry'!$B$2:$B$3001,$A8)&gt;0,"✓","✗")</f>
        <v>✗</v>
      </c>
      <c r="M8" s="5" t="str">
        <f ca="1">IF(COUNTIFS('Daily entry'!$A$2:$A$3001,M$4,'Daily entry'!$B$2:$B$3001,$A8)&gt;0,"✓","✗")</f>
        <v>✗</v>
      </c>
      <c r="N8" s="5" t="str">
        <f ca="1">IF(COUNTIFS('Daily entry'!$A$2:$A$3001,N$4,'Daily entry'!$B$2:$B$3001,$A8)&gt;0,"✓","✗")</f>
        <v>✗</v>
      </c>
      <c r="O8" s="5" t="str">
        <f ca="1">IF(COUNTIFS('Daily entry'!$A$2:$A$3001,O$4,'Daily entry'!$B$2:$B$3001,$A8)&gt;0,"✓","✗")</f>
        <v>✗</v>
      </c>
      <c r="P8" s="5" t="str">
        <f ca="1">IF(COUNTIFS('Daily entry'!$A$2:$A$3001,P$4,'Daily entry'!$B$2:$B$3001,$A8)&gt;0,"✓","✗")</f>
        <v>✗</v>
      </c>
      <c r="Q8" s="5" t="str">
        <f ca="1">IF(COUNTIFS('Daily entry'!$A$2:$A$3001,Q$4,'Daily entry'!$B$2:$B$3001,$A8)&gt;0,"✓","✗")</f>
        <v>✗</v>
      </c>
    </row>
    <row r="9" spans="1:17" ht="15.75">
      <c r="A9" s="17" t="s">
        <v>34</v>
      </c>
      <c r="B9" s="4">
        <f t="shared" ca="1" si="0"/>
        <v>0</v>
      </c>
      <c r="C9" s="4" t="str">
        <f>IF(COUNTIF('Daily entry'!$B$2:$B$3001,$A14)=0,"Never",_xlfn.MAXIFS('Daily entry'!$A$2:$A$3001,'Daily entry'!$B$2:$B$3001,$A14))</f>
        <v>Never</v>
      </c>
      <c r="D9" s="5" t="str">
        <f ca="1">IF(COUNTIFS('Daily entry'!$A$2:$A$3001,D$4,'Daily entry'!$B$2:$B$3001,$A9)&gt;0,"✓","✗")</f>
        <v>✗</v>
      </c>
      <c r="E9" s="5" t="str">
        <f ca="1">IF(COUNTIFS('Daily entry'!$A$2:$A$3001,E$4,'Daily entry'!$B$2:$B$3001,$A9)&gt;0,"✓","✗")</f>
        <v>✗</v>
      </c>
      <c r="F9" s="5" t="str">
        <f ca="1">IF(COUNTIFS('Daily entry'!$A$2:$A$3001,F$4,'Daily entry'!$B$2:$B$3001,$A9)&gt;0,"✓","✗")</f>
        <v>✗</v>
      </c>
      <c r="G9" s="5" t="str">
        <f ca="1">IF(COUNTIFS('Daily entry'!$A$2:$A$3001,G$4,'Daily entry'!$B$2:$B$3001,$A9)&gt;0,"✓","✗")</f>
        <v>✗</v>
      </c>
      <c r="H9" s="5" t="str">
        <f ca="1">IF(COUNTIFS('Daily entry'!$A$2:$A$3001,H$4,'Daily entry'!$B$2:$B$3001,$A9)&gt;0,"✓","✗")</f>
        <v>✗</v>
      </c>
      <c r="I9" s="5" t="str">
        <f ca="1">IF(COUNTIFS('Daily entry'!$A$2:$A$3001,I$4,'Daily entry'!$B$2:$B$3001,$A9)&gt;0,"✓","✗")</f>
        <v>✗</v>
      </c>
      <c r="J9" s="5" t="str">
        <f ca="1">IF(COUNTIFS('Daily entry'!$A$2:$A$3001,J$4,'Daily entry'!$B$2:$B$3001,$A9)&gt;0,"✓","✗")</f>
        <v>✗</v>
      </c>
      <c r="K9" s="5" t="str">
        <f ca="1">IF(COUNTIFS('Daily entry'!$A$2:$A$3001,K$4,'Daily entry'!$B$2:$B$3001,$A9)&gt;0,"✓","✗")</f>
        <v>✗</v>
      </c>
      <c r="L9" s="5" t="str">
        <f ca="1">IF(COUNTIFS('Daily entry'!$A$2:$A$3001,L$4,'Daily entry'!$B$2:$B$3001,$A9)&gt;0,"✓","✗")</f>
        <v>✗</v>
      </c>
      <c r="M9" s="5" t="str">
        <f ca="1">IF(COUNTIFS('Daily entry'!$A$2:$A$3001,M$4,'Daily entry'!$B$2:$B$3001,$A9)&gt;0,"✓","✗")</f>
        <v>✗</v>
      </c>
      <c r="N9" s="5" t="str">
        <f ca="1">IF(COUNTIFS('Daily entry'!$A$2:$A$3001,N$4,'Daily entry'!$B$2:$B$3001,$A9)&gt;0,"✓","✗")</f>
        <v>✗</v>
      </c>
      <c r="O9" s="5" t="str">
        <f ca="1">IF(COUNTIFS('Daily entry'!$A$2:$A$3001,O$4,'Daily entry'!$B$2:$B$3001,$A9)&gt;0,"✓","✗")</f>
        <v>✗</v>
      </c>
      <c r="P9" s="5" t="str">
        <f ca="1">IF(COUNTIFS('Daily entry'!$A$2:$A$3001,P$4,'Daily entry'!$B$2:$B$3001,$A9)&gt;0,"✓","✗")</f>
        <v>✗</v>
      </c>
      <c r="Q9" s="5" t="str">
        <f ca="1">IF(COUNTIFS('Daily entry'!$A$2:$A$3001,Q$4,'Daily entry'!$B$2:$B$3001,$A9)&gt;0,"✓","✗")</f>
        <v>✗</v>
      </c>
    </row>
    <row r="10" spans="1:17" ht="15.75">
      <c r="A10" s="17" t="s">
        <v>35</v>
      </c>
      <c r="B10" s="4">
        <f t="shared" ca="1" si="0"/>
        <v>0</v>
      </c>
      <c r="C10" s="4" t="str">
        <f>IF(COUNTIF('Daily entry'!$B$2:$B$3001,$A15)=0,"Never",_xlfn.MAXIFS('Daily entry'!$A$2:$A$3001,'Daily entry'!$B$2:$B$3001,$A15))</f>
        <v>Never</v>
      </c>
      <c r="D10" s="5" t="str">
        <f ca="1">IF(COUNTIFS('Daily entry'!$A$2:$A$3001,D$4,'Daily entry'!$B$2:$B$3001,$A10)&gt;0,"✓","✗")</f>
        <v>✗</v>
      </c>
      <c r="E10" s="5" t="str">
        <f ca="1">IF(COUNTIFS('Daily entry'!$A$2:$A$3001,E$4,'Daily entry'!$B$2:$B$3001,$A10)&gt;0,"✓","✗")</f>
        <v>✗</v>
      </c>
      <c r="F10" s="5" t="str">
        <f ca="1">IF(COUNTIFS('Daily entry'!$A$2:$A$3001,F$4,'Daily entry'!$B$2:$B$3001,$A10)&gt;0,"✓","✗")</f>
        <v>✗</v>
      </c>
      <c r="G10" s="5" t="str">
        <f ca="1">IF(COUNTIFS('Daily entry'!$A$2:$A$3001,G$4,'Daily entry'!$B$2:$B$3001,$A10)&gt;0,"✓","✗")</f>
        <v>✗</v>
      </c>
      <c r="H10" s="5" t="str">
        <f ca="1">IF(COUNTIFS('Daily entry'!$A$2:$A$3001,H$4,'Daily entry'!$B$2:$B$3001,$A10)&gt;0,"✓","✗")</f>
        <v>✗</v>
      </c>
      <c r="I10" s="5" t="str">
        <f ca="1">IF(COUNTIFS('Daily entry'!$A$2:$A$3001,I$4,'Daily entry'!$B$2:$B$3001,$A10)&gt;0,"✓","✗")</f>
        <v>✗</v>
      </c>
      <c r="J10" s="5" t="str">
        <f ca="1">IF(COUNTIFS('Daily entry'!$A$2:$A$3001,J$4,'Daily entry'!$B$2:$B$3001,$A10)&gt;0,"✓","✗")</f>
        <v>✗</v>
      </c>
      <c r="K10" s="5" t="str">
        <f ca="1">IF(COUNTIFS('Daily entry'!$A$2:$A$3001,K$4,'Daily entry'!$B$2:$B$3001,$A10)&gt;0,"✓","✗")</f>
        <v>✗</v>
      </c>
      <c r="L10" s="5" t="str">
        <f ca="1">IF(COUNTIFS('Daily entry'!$A$2:$A$3001,L$4,'Daily entry'!$B$2:$B$3001,$A10)&gt;0,"✓","✗")</f>
        <v>✗</v>
      </c>
      <c r="M10" s="5" t="str">
        <f ca="1">IF(COUNTIFS('Daily entry'!$A$2:$A$3001,M$4,'Daily entry'!$B$2:$B$3001,$A10)&gt;0,"✓","✗")</f>
        <v>✗</v>
      </c>
      <c r="N10" s="5" t="str">
        <f ca="1">IF(COUNTIFS('Daily entry'!$A$2:$A$3001,N$4,'Daily entry'!$B$2:$B$3001,$A10)&gt;0,"✓","✗")</f>
        <v>✗</v>
      </c>
      <c r="O10" s="5" t="str">
        <f ca="1">IF(COUNTIFS('Daily entry'!$A$2:$A$3001,O$4,'Daily entry'!$B$2:$B$3001,$A10)&gt;0,"✓","✗")</f>
        <v>✗</v>
      </c>
      <c r="P10" s="5" t="str">
        <f ca="1">IF(COUNTIFS('Daily entry'!$A$2:$A$3001,P$4,'Daily entry'!$B$2:$B$3001,$A10)&gt;0,"✓","✗")</f>
        <v>✗</v>
      </c>
      <c r="Q10" s="5" t="str">
        <f ca="1">IF(COUNTIFS('Daily entry'!$A$2:$A$3001,Q$4,'Daily entry'!$B$2:$B$3001,$A10)&gt;0,"✓","✗")</f>
        <v>✗</v>
      </c>
    </row>
    <row r="11" spans="1:17" ht="15.75">
      <c r="A11" s="17" t="s">
        <v>9</v>
      </c>
      <c r="B11" s="4">
        <f t="shared" ca="1" si="0"/>
        <v>0</v>
      </c>
      <c r="C11" s="4" t="str">
        <f>IF(COUNTIF('Daily entry'!$B$2:$B$3001,$A16)=0,"Never",_xlfn.MAXIFS('Daily entry'!$A$2:$A$3001,'Daily entry'!$B$2:$B$3001,$A16))</f>
        <v>Never</v>
      </c>
      <c r="D11" s="5" t="str">
        <f ca="1">IF(COUNTIFS('Daily entry'!$A$2:$A$3001,D$4,'Daily entry'!$B$2:$B$3001,$A11)&gt;0,"✓","✗")</f>
        <v>✗</v>
      </c>
      <c r="E11" s="5" t="str">
        <f ca="1">IF(COUNTIFS('Daily entry'!$A$2:$A$3001,E$4,'Daily entry'!$B$2:$B$3001,$A11)&gt;0,"✓","✗")</f>
        <v>✗</v>
      </c>
      <c r="F11" s="5" t="str">
        <f ca="1">IF(COUNTIFS('Daily entry'!$A$2:$A$3001,F$4,'Daily entry'!$B$2:$B$3001,$A11)&gt;0,"✓","✗")</f>
        <v>✓</v>
      </c>
      <c r="G11" s="5" t="str">
        <f ca="1">IF(COUNTIFS('Daily entry'!$A$2:$A$3001,G$4,'Daily entry'!$B$2:$B$3001,$A11)&gt;0,"✓","✗")</f>
        <v>✓</v>
      </c>
      <c r="H11" s="5" t="str">
        <f ca="1">IF(COUNTIFS('Daily entry'!$A$2:$A$3001,H$4,'Daily entry'!$B$2:$B$3001,$A11)&gt;0,"✓","✗")</f>
        <v>✓</v>
      </c>
      <c r="I11" s="5" t="str">
        <f ca="1">IF(COUNTIFS('Daily entry'!$A$2:$A$3001,I$4,'Daily entry'!$B$2:$B$3001,$A11)&gt;0,"✓","✗")</f>
        <v>✓</v>
      </c>
      <c r="J11" s="5" t="str">
        <f ca="1">IF(COUNTIFS('Daily entry'!$A$2:$A$3001,J$4,'Daily entry'!$B$2:$B$3001,$A11)&gt;0,"✓","✗")</f>
        <v>✓</v>
      </c>
      <c r="K11" s="5" t="str">
        <f ca="1">IF(COUNTIFS('Daily entry'!$A$2:$A$3001,K$4,'Daily entry'!$B$2:$B$3001,$A11)&gt;0,"✓","✗")</f>
        <v>✓</v>
      </c>
      <c r="L11" s="5" t="str">
        <f ca="1">IF(COUNTIFS('Daily entry'!$A$2:$A$3001,L$4,'Daily entry'!$B$2:$B$3001,$A11)&gt;0,"✓","✗")</f>
        <v>✓</v>
      </c>
      <c r="M11" s="5" t="str">
        <f ca="1">IF(COUNTIFS('Daily entry'!$A$2:$A$3001,M$4,'Daily entry'!$B$2:$B$3001,$A11)&gt;0,"✓","✗")</f>
        <v>✓</v>
      </c>
      <c r="N11" s="5" t="str">
        <f ca="1">IF(COUNTIFS('Daily entry'!$A$2:$A$3001,N$4,'Daily entry'!$B$2:$B$3001,$A11)&gt;0,"✓","✗")</f>
        <v>✗</v>
      </c>
      <c r="O11" s="5" t="str">
        <f ca="1">IF(COUNTIFS('Daily entry'!$A$2:$A$3001,O$4,'Daily entry'!$B$2:$B$3001,$A11)&gt;0,"✓","✗")</f>
        <v>✗</v>
      </c>
      <c r="P11" s="5" t="str">
        <f ca="1">IF(COUNTIFS('Daily entry'!$A$2:$A$3001,P$4,'Daily entry'!$B$2:$B$3001,$A11)&gt;0,"✓","✗")</f>
        <v>✗</v>
      </c>
      <c r="Q11" s="5" t="str">
        <f ca="1">IF(COUNTIFS('Daily entry'!$A$2:$A$3001,Q$4,'Daily entry'!$B$2:$B$3001,$A11)&gt;0,"✓","✗")</f>
        <v>✗</v>
      </c>
    </row>
    <row r="12" spans="1:17" ht="15.75">
      <c r="A12" s="17" t="s">
        <v>12</v>
      </c>
      <c r="B12" s="4">
        <f t="shared" ca="1" si="0"/>
        <v>8</v>
      </c>
      <c r="C12" s="4">
        <f>IF(COUNTIF('Daily entry'!$B$2:$B$3001,$A17)=0,"Never",_xlfn.MAXIFS('Daily entry'!$A$2:$A$3001,'Daily entry'!$B$2:$B$3001,$A17))</f>
        <v>46303</v>
      </c>
      <c r="D12" s="5" t="str">
        <f ca="1">IF(COUNTIFS('Daily entry'!$A$2:$A$3001,D$4,'Daily entry'!$B$2:$B$3001,$A12)&gt;0,"✓","✗")</f>
        <v>✗</v>
      </c>
      <c r="E12" s="5" t="str">
        <f ca="1">IF(COUNTIFS('Daily entry'!$A$2:$A$3001,E$4,'Daily entry'!$B$2:$B$3001,$A12)&gt;0,"✓","✗")</f>
        <v>✗</v>
      </c>
      <c r="F12" s="5" t="str">
        <f ca="1">IF(COUNTIFS('Daily entry'!$A$2:$A$3001,F$4,'Daily entry'!$B$2:$B$3001,$A12)&gt;0,"✓","✗")</f>
        <v>✓</v>
      </c>
      <c r="G12" s="5" t="str">
        <f ca="1">IF(COUNTIFS('Daily entry'!$A$2:$A$3001,G$4,'Daily entry'!$B$2:$B$3001,$A12)&gt;0,"✓","✗")</f>
        <v>✓</v>
      </c>
      <c r="H12" s="5" t="str">
        <f ca="1">IF(COUNTIFS('Daily entry'!$A$2:$A$3001,H$4,'Daily entry'!$B$2:$B$3001,$A12)&gt;0,"✓","✗")</f>
        <v>✓</v>
      </c>
      <c r="I12" s="5" t="str">
        <f ca="1">IF(COUNTIFS('Daily entry'!$A$2:$A$3001,I$4,'Daily entry'!$B$2:$B$3001,$A12)&gt;0,"✓","✗")</f>
        <v>✓</v>
      </c>
      <c r="J12" s="5" t="str">
        <f ca="1">IF(COUNTIFS('Daily entry'!$A$2:$A$3001,J$4,'Daily entry'!$B$2:$B$3001,$A12)&gt;0,"✓","✗")</f>
        <v>✓</v>
      </c>
      <c r="K12" s="5" t="str">
        <f ca="1">IF(COUNTIFS('Daily entry'!$A$2:$A$3001,K$4,'Daily entry'!$B$2:$B$3001,$A12)&gt;0,"✓","✗")</f>
        <v>✓</v>
      </c>
      <c r="L12" s="5" t="str">
        <f ca="1">IF(COUNTIFS('Daily entry'!$A$2:$A$3001,L$4,'Daily entry'!$B$2:$B$3001,$A12)&gt;0,"✓","✗")</f>
        <v>✓</v>
      </c>
      <c r="M12" s="5" t="str">
        <f ca="1">IF(COUNTIFS('Daily entry'!$A$2:$A$3001,M$4,'Daily entry'!$B$2:$B$3001,$A12)&gt;0,"✓","✗")</f>
        <v>✓</v>
      </c>
      <c r="N12" s="5" t="str">
        <f ca="1">IF(COUNTIFS('Daily entry'!$A$2:$A$3001,N$4,'Daily entry'!$B$2:$B$3001,$A12)&gt;0,"✓","✗")</f>
        <v>✗</v>
      </c>
      <c r="O12" s="5" t="str">
        <f ca="1">IF(COUNTIFS('Daily entry'!$A$2:$A$3001,O$4,'Daily entry'!$B$2:$B$3001,$A12)&gt;0,"✓","✗")</f>
        <v>✗</v>
      </c>
      <c r="P12" s="5" t="str">
        <f ca="1">IF(COUNTIFS('Daily entry'!$A$2:$A$3001,P$4,'Daily entry'!$B$2:$B$3001,$A12)&gt;0,"✓","✗")</f>
        <v>✗</v>
      </c>
      <c r="Q12" s="5" t="str">
        <f ca="1">IF(COUNTIFS('Daily entry'!$A$2:$A$3001,Q$4,'Daily entry'!$B$2:$B$3001,$A12)&gt;0,"✓","✗")</f>
        <v>✗</v>
      </c>
    </row>
    <row r="13" spans="1:17" ht="15.75">
      <c r="A13" s="17" t="s">
        <v>13</v>
      </c>
      <c r="B13" s="4">
        <f t="shared" ca="1" si="0"/>
        <v>0</v>
      </c>
      <c r="C13" s="4" t="str">
        <f>IF(COUNTIF('Daily entry'!$B$2:$B$3001,$A18)=0,"Never",_xlfn.MAXIFS('Daily entry'!$A$2:$A$3001,'Daily entry'!$B$2:$B$3001,$A18))</f>
        <v>Never</v>
      </c>
      <c r="D13" s="5" t="str">
        <f ca="1">IF(COUNTIFS('Daily entry'!$A$2:$A$3001,D$4,'Daily entry'!$B$2:$B$3001,$A13)&gt;0,"✓","✗")</f>
        <v>✗</v>
      </c>
      <c r="E13" s="5" t="str">
        <f ca="1">IF(COUNTIFS('Daily entry'!$A$2:$A$3001,E$4,'Daily entry'!$B$2:$B$3001,$A13)&gt;0,"✓","✗")</f>
        <v>✗</v>
      </c>
      <c r="F13" s="5" t="str">
        <f ca="1">IF(COUNTIFS('Daily entry'!$A$2:$A$3001,F$4,'Daily entry'!$B$2:$B$3001,$A13)&gt;0,"✓","✗")</f>
        <v>✓</v>
      </c>
      <c r="G13" s="5" t="str">
        <f ca="1">IF(COUNTIFS('Daily entry'!$A$2:$A$3001,G$4,'Daily entry'!$B$2:$B$3001,$A13)&gt;0,"✓","✗")</f>
        <v>✓</v>
      </c>
      <c r="H13" s="5" t="str">
        <f ca="1">IF(COUNTIFS('Daily entry'!$A$2:$A$3001,H$4,'Daily entry'!$B$2:$B$3001,$A13)&gt;0,"✓","✗")</f>
        <v>✓</v>
      </c>
      <c r="I13" s="5" t="str">
        <f ca="1">IF(COUNTIFS('Daily entry'!$A$2:$A$3001,I$4,'Daily entry'!$B$2:$B$3001,$A13)&gt;0,"✓","✗")</f>
        <v>✓</v>
      </c>
      <c r="J13" s="5" t="str">
        <f ca="1">IF(COUNTIFS('Daily entry'!$A$2:$A$3001,J$4,'Daily entry'!$B$2:$B$3001,$A13)&gt;0,"✓","✗")</f>
        <v>✓</v>
      </c>
      <c r="K13" s="5" t="str">
        <f ca="1">IF(COUNTIFS('Daily entry'!$A$2:$A$3001,K$4,'Daily entry'!$B$2:$B$3001,$A13)&gt;0,"✓","✗")</f>
        <v>✓</v>
      </c>
      <c r="L13" s="5" t="str">
        <f ca="1">IF(COUNTIFS('Daily entry'!$A$2:$A$3001,L$4,'Daily entry'!$B$2:$B$3001,$A13)&gt;0,"✓","✗")</f>
        <v>✓</v>
      </c>
      <c r="M13" s="5" t="str">
        <f ca="1">IF(COUNTIFS('Daily entry'!$A$2:$A$3001,M$4,'Daily entry'!$B$2:$B$3001,$A13)&gt;0,"✓","✗")</f>
        <v>✓</v>
      </c>
      <c r="N13" s="5" t="str">
        <f ca="1">IF(COUNTIFS('Daily entry'!$A$2:$A$3001,N$4,'Daily entry'!$B$2:$B$3001,$A13)&gt;0,"✓","✗")</f>
        <v>✗</v>
      </c>
      <c r="O13" s="5" t="str">
        <f ca="1">IF(COUNTIFS('Daily entry'!$A$2:$A$3001,O$4,'Daily entry'!$B$2:$B$3001,$A13)&gt;0,"✓","✗")</f>
        <v>✗</v>
      </c>
      <c r="P13" s="5" t="str">
        <f ca="1">IF(COUNTIFS('Daily entry'!$A$2:$A$3001,P$4,'Daily entry'!$B$2:$B$3001,$A13)&gt;0,"✓","✗")</f>
        <v>✗</v>
      </c>
      <c r="Q13" s="5" t="str">
        <f ca="1">IF(COUNTIFS('Daily entry'!$A$2:$A$3001,Q$4,'Daily entry'!$B$2:$B$3001,$A13)&gt;0,"✓","✗")</f>
        <v>✗</v>
      </c>
    </row>
    <row r="14" spans="1:17" ht="15.75">
      <c r="A14" s="17" t="s">
        <v>39</v>
      </c>
      <c r="B14" s="4">
        <f t="shared" ca="1" si="0"/>
        <v>0</v>
      </c>
      <c r="C14" s="4" t="str">
        <f>IF(COUNTIF('Daily entry'!$B$2:$B$3001,$A19)=0,"Never",_xlfn.MAXIFS('Daily entry'!$A$2:$A$3001,'Daily entry'!$B$2:$B$3001,$A19))</f>
        <v>Never</v>
      </c>
      <c r="D14" s="5" t="str">
        <f ca="1">IF(COUNTIFS('Daily entry'!$A$2:$A$3001,D$4,'Daily entry'!$B$2:$B$3001,$A14)&gt;0,"✓","✗")</f>
        <v>✗</v>
      </c>
      <c r="E14" s="5" t="str">
        <f ca="1">IF(COUNTIFS('Daily entry'!$A$2:$A$3001,E$4,'Daily entry'!$B$2:$B$3001,$A14)&gt;0,"✓","✗")</f>
        <v>✗</v>
      </c>
      <c r="F14" s="5" t="str">
        <f ca="1">IF(COUNTIFS('Daily entry'!$A$2:$A$3001,F$4,'Daily entry'!$B$2:$B$3001,$A14)&gt;0,"✓","✗")</f>
        <v>✗</v>
      </c>
      <c r="G14" s="5" t="str">
        <f ca="1">IF(COUNTIFS('Daily entry'!$A$2:$A$3001,G$4,'Daily entry'!$B$2:$B$3001,$A14)&gt;0,"✓","✗")</f>
        <v>✗</v>
      </c>
      <c r="H14" s="5" t="str">
        <f ca="1">IF(COUNTIFS('Daily entry'!$A$2:$A$3001,H$4,'Daily entry'!$B$2:$B$3001,$A14)&gt;0,"✓","✗")</f>
        <v>✗</v>
      </c>
      <c r="I14" s="5" t="str">
        <f ca="1">IF(COUNTIFS('Daily entry'!$A$2:$A$3001,I$4,'Daily entry'!$B$2:$B$3001,$A14)&gt;0,"✓","✗")</f>
        <v>✗</v>
      </c>
      <c r="J14" s="5" t="str">
        <f ca="1">IF(COUNTIFS('Daily entry'!$A$2:$A$3001,J$4,'Daily entry'!$B$2:$B$3001,$A14)&gt;0,"✓","✗")</f>
        <v>✗</v>
      </c>
      <c r="K14" s="5" t="str">
        <f ca="1">IF(COUNTIFS('Daily entry'!$A$2:$A$3001,K$4,'Daily entry'!$B$2:$B$3001,$A14)&gt;0,"✓","✗")</f>
        <v>✗</v>
      </c>
      <c r="L14" s="5" t="str">
        <f ca="1">IF(COUNTIFS('Daily entry'!$A$2:$A$3001,L$4,'Daily entry'!$B$2:$B$3001,$A14)&gt;0,"✓","✗")</f>
        <v>✗</v>
      </c>
      <c r="M14" s="5" t="str">
        <f ca="1">IF(COUNTIFS('Daily entry'!$A$2:$A$3001,M$4,'Daily entry'!$B$2:$B$3001,$A14)&gt;0,"✓","✗")</f>
        <v>✗</v>
      </c>
      <c r="N14" s="5" t="str">
        <f ca="1">IF(COUNTIFS('Daily entry'!$A$2:$A$3001,N$4,'Daily entry'!$B$2:$B$3001,$A14)&gt;0,"✓","✗")</f>
        <v>✗</v>
      </c>
      <c r="O14" s="5" t="str">
        <f ca="1">IF(COUNTIFS('Daily entry'!$A$2:$A$3001,O$4,'Daily entry'!$B$2:$B$3001,$A14)&gt;0,"✓","✗")</f>
        <v>✗</v>
      </c>
      <c r="P14" s="5" t="str">
        <f ca="1">IF(COUNTIFS('Daily entry'!$A$2:$A$3001,P$4,'Daily entry'!$B$2:$B$3001,$A14)&gt;0,"✓","✗")</f>
        <v>✗</v>
      </c>
      <c r="Q14" s="5" t="str">
        <f ca="1">IF(COUNTIFS('Daily entry'!$A$2:$A$3001,Q$4,'Daily entry'!$B$2:$B$3001,$A14)&gt;0,"✓","✗")</f>
        <v>✗</v>
      </c>
    </row>
    <row r="15" spans="1:17" ht="15.75">
      <c r="A15" s="17" t="s">
        <v>40</v>
      </c>
      <c r="B15" s="4">
        <f t="shared" ca="1" si="0"/>
        <v>0</v>
      </c>
      <c r="C15" s="4" t="str">
        <f>IF(COUNTIF('Daily entry'!$B$2:$B$3001,$A20)=0,"Never",_xlfn.MAXIFS('Daily entry'!$A$2:$A$3001,'Daily entry'!$B$2:$B$3001,$A20))</f>
        <v>Never</v>
      </c>
      <c r="D15" s="5" t="str">
        <f ca="1">IF(COUNTIFS('Daily entry'!$A$2:$A$3001,D$4,'Daily entry'!$B$2:$B$3001,$A15)&gt;0,"✓","✗")</f>
        <v>✗</v>
      </c>
      <c r="E15" s="5" t="str">
        <f ca="1">IF(COUNTIFS('Daily entry'!$A$2:$A$3001,E$4,'Daily entry'!$B$2:$B$3001,$A15)&gt;0,"✓","✗")</f>
        <v>✗</v>
      </c>
      <c r="F15" s="5" t="str">
        <f ca="1">IF(COUNTIFS('Daily entry'!$A$2:$A$3001,F$4,'Daily entry'!$B$2:$B$3001,$A15)&gt;0,"✓","✗")</f>
        <v>✗</v>
      </c>
      <c r="G15" s="5" t="str">
        <f ca="1">IF(COUNTIFS('Daily entry'!$A$2:$A$3001,G$4,'Daily entry'!$B$2:$B$3001,$A15)&gt;0,"✓","✗")</f>
        <v>✗</v>
      </c>
      <c r="H15" s="5" t="str">
        <f ca="1">IF(COUNTIFS('Daily entry'!$A$2:$A$3001,H$4,'Daily entry'!$B$2:$B$3001,$A15)&gt;0,"✓","✗")</f>
        <v>✗</v>
      </c>
      <c r="I15" s="5" t="str">
        <f ca="1">IF(COUNTIFS('Daily entry'!$A$2:$A$3001,I$4,'Daily entry'!$B$2:$B$3001,$A15)&gt;0,"✓","✗")</f>
        <v>✗</v>
      </c>
      <c r="J15" s="5" t="str">
        <f ca="1">IF(COUNTIFS('Daily entry'!$A$2:$A$3001,J$4,'Daily entry'!$B$2:$B$3001,$A15)&gt;0,"✓","✗")</f>
        <v>✗</v>
      </c>
      <c r="K15" s="5" t="str">
        <f ca="1">IF(COUNTIFS('Daily entry'!$A$2:$A$3001,K$4,'Daily entry'!$B$2:$B$3001,$A15)&gt;0,"✓","✗")</f>
        <v>✗</v>
      </c>
      <c r="L15" s="5" t="str">
        <f ca="1">IF(COUNTIFS('Daily entry'!$A$2:$A$3001,L$4,'Daily entry'!$B$2:$B$3001,$A15)&gt;0,"✓","✗")</f>
        <v>✗</v>
      </c>
      <c r="M15" s="5" t="str">
        <f ca="1">IF(COUNTIFS('Daily entry'!$A$2:$A$3001,M$4,'Daily entry'!$B$2:$B$3001,$A15)&gt;0,"✓","✗")</f>
        <v>✗</v>
      </c>
      <c r="N15" s="5" t="str">
        <f ca="1">IF(COUNTIFS('Daily entry'!$A$2:$A$3001,N$4,'Daily entry'!$B$2:$B$3001,$A15)&gt;0,"✓","✗")</f>
        <v>✗</v>
      </c>
      <c r="O15" s="5" t="str">
        <f ca="1">IF(COUNTIFS('Daily entry'!$A$2:$A$3001,O$4,'Daily entry'!$B$2:$B$3001,$A15)&gt;0,"✓","✗")</f>
        <v>✗</v>
      </c>
      <c r="P15" s="5" t="str">
        <f ca="1">IF(COUNTIFS('Daily entry'!$A$2:$A$3001,P$4,'Daily entry'!$B$2:$B$3001,$A15)&gt;0,"✓","✗")</f>
        <v>✗</v>
      </c>
      <c r="Q15" s="5" t="str">
        <f ca="1">IF(COUNTIFS('Daily entry'!$A$2:$A$3001,Q$4,'Daily entry'!$B$2:$B$3001,$A15)&gt;0,"✓","✗")</f>
        <v>✗</v>
      </c>
    </row>
    <row r="16" spans="1:17" ht="15.75">
      <c r="A16" s="17" t="s">
        <v>41</v>
      </c>
      <c r="B16" s="4">
        <f t="shared" ca="1" si="0"/>
        <v>0</v>
      </c>
      <c r="C16" s="4" t="str">
        <f>IF(COUNTIF('Daily entry'!$B$2:$B$3001,$A21)=0,"Never",_xlfn.MAXIFS('Daily entry'!$A$2:$A$3001,'Daily entry'!$B$2:$B$3001,$A21))</f>
        <v>Never</v>
      </c>
      <c r="D16" s="5" t="str">
        <f ca="1">IF(COUNTIFS('Daily entry'!$A$2:$A$3001,D$4,'Daily entry'!$B$2:$B$3001,$A16)&gt;0,"✓","✗")</f>
        <v>✗</v>
      </c>
      <c r="E16" s="5" t="str">
        <f ca="1">IF(COUNTIFS('Daily entry'!$A$2:$A$3001,E$4,'Daily entry'!$B$2:$B$3001,$A16)&gt;0,"✓","✗")</f>
        <v>✗</v>
      </c>
      <c r="F16" s="5" t="str">
        <f ca="1">IF(COUNTIFS('Daily entry'!$A$2:$A$3001,F$4,'Daily entry'!$B$2:$B$3001,$A16)&gt;0,"✓","✗")</f>
        <v>✗</v>
      </c>
      <c r="G16" s="5" t="str">
        <f ca="1">IF(COUNTIFS('Daily entry'!$A$2:$A$3001,G$4,'Daily entry'!$B$2:$B$3001,$A16)&gt;0,"✓","✗")</f>
        <v>✗</v>
      </c>
      <c r="H16" s="5" t="str">
        <f ca="1">IF(COUNTIFS('Daily entry'!$A$2:$A$3001,H$4,'Daily entry'!$B$2:$B$3001,$A16)&gt;0,"✓","✗")</f>
        <v>✗</v>
      </c>
      <c r="I16" s="5" t="str">
        <f ca="1">IF(COUNTIFS('Daily entry'!$A$2:$A$3001,I$4,'Daily entry'!$B$2:$B$3001,$A16)&gt;0,"✓","✗")</f>
        <v>✗</v>
      </c>
      <c r="J16" s="5" t="str">
        <f ca="1">IF(COUNTIFS('Daily entry'!$A$2:$A$3001,J$4,'Daily entry'!$B$2:$B$3001,$A16)&gt;0,"✓","✗")</f>
        <v>✗</v>
      </c>
      <c r="K16" s="5" t="str">
        <f ca="1">IF(COUNTIFS('Daily entry'!$A$2:$A$3001,K$4,'Daily entry'!$B$2:$B$3001,$A16)&gt;0,"✓","✗")</f>
        <v>✗</v>
      </c>
      <c r="L16" s="5" t="str">
        <f ca="1">IF(COUNTIFS('Daily entry'!$A$2:$A$3001,L$4,'Daily entry'!$B$2:$B$3001,$A16)&gt;0,"✓","✗")</f>
        <v>✗</v>
      </c>
      <c r="M16" s="5" t="str">
        <f ca="1">IF(COUNTIFS('Daily entry'!$A$2:$A$3001,M$4,'Daily entry'!$B$2:$B$3001,$A16)&gt;0,"✓","✗")</f>
        <v>✗</v>
      </c>
      <c r="N16" s="5" t="str">
        <f ca="1">IF(COUNTIFS('Daily entry'!$A$2:$A$3001,N$4,'Daily entry'!$B$2:$B$3001,$A16)&gt;0,"✓","✗")</f>
        <v>✗</v>
      </c>
      <c r="O16" s="5" t="str">
        <f ca="1">IF(COUNTIFS('Daily entry'!$A$2:$A$3001,O$4,'Daily entry'!$B$2:$B$3001,$A16)&gt;0,"✓","✗")</f>
        <v>✗</v>
      </c>
      <c r="P16" s="5" t="str">
        <f ca="1">IF(COUNTIFS('Daily entry'!$A$2:$A$3001,P$4,'Daily entry'!$B$2:$B$3001,$A16)&gt;0,"✓","✗")</f>
        <v>✗</v>
      </c>
      <c r="Q16" s="5" t="str">
        <f ca="1">IF(COUNTIFS('Daily entry'!$A$2:$A$3001,Q$4,'Daily entry'!$B$2:$B$3001,$A16)&gt;0,"✓","✗")</f>
        <v>✗</v>
      </c>
    </row>
    <row r="17" spans="1:17" ht="15.75">
      <c r="A17" s="17" t="s">
        <v>11</v>
      </c>
      <c r="B17" s="4">
        <f t="shared" ca="1" si="0"/>
        <v>0</v>
      </c>
      <c r="C17" s="4" t="str">
        <f>IF(COUNTIF('Daily entry'!$B$2:$B$3001,$A22)=0,"Never",_xlfn.MAXIFS('Daily entry'!$A$2:$A$3001,'Daily entry'!$B$2:$B$3001,$A22))</f>
        <v>Never</v>
      </c>
      <c r="D17" s="5" t="str">
        <f ca="1">IF(COUNTIFS('Daily entry'!$A$2:$A$3001,D$4,'Daily entry'!$B$2:$B$3001,$A17)&gt;0,"✓","✗")</f>
        <v>✗</v>
      </c>
      <c r="E17" s="5" t="str">
        <f ca="1">IF(COUNTIFS('Daily entry'!$A$2:$A$3001,E$4,'Daily entry'!$B$2:$B$3001,$A17)&gt;0,"✓","✗")</f>
        <v>✗</v>
      </c>
      <c r="F17" s="5" t="str">
        <f ca="1">IF(COUNTIFS('Daily entry'!$A$2:$A$3001,F$4,'Daily entry'!$B$2:$B$3001,$A17)&gt;0,"✓","✗")</f>
        <v>✓</v>
      </c>
      <c r="G17" s="5" t="str">
        <f ca="1">IF(COUNTIFS('Daily entry'!$A$2:$A$3001,G$4,'Daily entry'!$B$2:$B$3001,$A17)&gt;0,"✓","✗")</f>
        <v>✓</v>
      </c>
      <c r="H17" s="5" t="str">
        <f ca="1">IF(COUNTIFS('Daily entry'!$A$2:$A$3001,H$4,'Daily entry'!$B$2:$B$3001,$A17)&gt;0,"✓","✗")</f>
        <v>✓</v>
      </c>
      <c r="I17" s="5" t="str">
        <f ca="1">IF(COUNTIFS('Daily entry'!$A$2:$A$3001,I$4,'Daily entry'!$B$2:$B$3001,$A17)&gt;0,"✓","✗")</f>
        <v>✓</v>
      </c>
      <c r="J17" s="5" t="str">
        <f ca="1">IF(COUNTIFS('Daily entry'!$A$2:$A$3001,J$4,'Daily entry'!$B$2:$B$3001,$A17)&gt;0,"✓","✗")</f>
        <v>✓</v>
      </c>
      <c r="K17" s="5" t="str">
        <f ca="1">IF(COUNTIFS('Daily entry'!$A$2:$A$3001,K$4,'Daily entry'!$B$2:$B$3001,$A17)&gt;0,"✓","✗")</f>
        <v>✓</v>
      </c>
      <c r="L17" s="5" t="str">
        <f ca="1">IF(COUNTIFS('Daily entry'!$A$2:$A$3001,L$4,'Daily entry'!$B$2:$B$3001,$A17)&gt;0,"✓","✗")</f>
        <v>✓</v>
      </c>
      <c r="M17" s="5" t="str">
        <f ca="1">IF(COUNTIFS('Daily entry'!$A$2:$A$3001,M$4,'Daily entry'!$B$2:$B$3001,$A17)&gt;0,"✓","✗")</f>
        <v>✓</v>
      </c>
      <c r="N17" s="5" t="str">
        <f ca="1">IF(COUNTIFS('Daily entry'!$A$2:$A$3001,N$4,'Daily entry'!$B$2:$B$3001,$A17)&gt;0,"✓","✗")</f>
        <v>✗</v>
      </c>
      <c r="O17" s="5" t="str">
        <f ca="1">IF(COUNTIFS('Daily entry'!$A$2:$A$3001,O$4,'Daily entry'!$B$2:$B$3001,$A17)&gt;0,"✓","✗")</f>
        <v>✗</v>
      </c>
      <c r="P17" s="5" t="str">
        <f ca="1">IF(COUNTIFS('Daily entry'!$A$2:$A$3001,P$4,'Daily entry'!$B$2:$B$3001,$A17)&gt;0,"✓","✗")</f>
        <v>✗</v>
      </c>
      <c r="Q17" s="5" t="str">
        <f ca="1">IF(COUNTIFS('Daily entry'!$A$2:$A$3001,Q$4,'Daily entry'!$B$2:$B$3001,$A17)&gt;0,"✓","✗")</f>
        <v>✗</v>
      </c>
    </row>
    <row r="18" spans="1:17" ht="15.75">
      <c r="A18" s="17" t="s">
        <v>45</v>
      </c>
      <c r="B18" s="4">
        <f t="shared" ca="1" si="0"/>
        <v>0</v>
      </c>
      <c r="C18" s="4" t="str">
        <f>IF(COUNTIF('Daily entry'!$B$2:$B$3001,$A23)=0,"Never",_xlfn.MAXIFS('Daily entry'!$A$2:$A$3001,'Daily entry'!$B$2:$B$3001,$A23))</f>
        <v>Never</v>
      </c>
      <c r="D18" s="5" t="str">
        <f ca="1">IF(COUNTIFS('Daily entry'!$A$2:$A$3001,D$4,'Daily entry'!$B$2:$B$3001,$A18)&gt;0,"✓","✗")</f>
        <v>✗</v>
      </c>
      <c r="E18" s="5" t="str">
        <f ca="1">IF(COUNTIFS('Daily entry'!$A$2:$A$3001,E$4,'Daily entry'!$B$2:$B$3001,$A18)&gt;0,"✓","✗")</f>
        <v>✗</v>
      </c>
      <c r="F18" s="5" t="str">
        <f ca="1">IF(COUNTIFS('Daily entry'!$A$2:$A$3001,F$4,'Daily entry'!$B$2:$B$3001,$A18)&gt;0,"✓","✗")</f>
        <v>✗</v>
      </c>
      <c r="G18" s="5" t="str">
        <f ca="1">IF(COUNTIFS('Daily entry'!$A$2:$A$3001,G$4,'Daily entry'!$B$2:$B$3001,$A18)&gt;0,"✓","✗")</f>
        <v>✗</v>
      </c>
      <c r="H18" s="5" t="str">
        <f ca="1">IF(COUNTIFS('Daily entry'!$A$2:$A$3001,H$4,'Daily entry'!$B$2:$B$3001,$A18)&gt;0,"✓","✗")</f>
        <v>✗</v>
      </c>
      <c r="I18" s="5" t="str">
        <f ca="1">IF(COUNTIFS('Daily entry'!$A$2:$A$3001,I$4,'Daily entry'!$B$2:$B$3001,$A18)&gt;0,"✓","✗")</f>
        <v>✗</v>
      </c>
      <c r="J18" s="5" t="str">
        <f ca="1">IF(COUNTIFS('Daily entry'!$A$2:$A$3001,J$4,'Daily entry'!$B$2:$B$3001,$A18)&gt;0,"✓","✗")</f>
        <v>✗</v>
      </c>
      <c r="K18" s="5" t="str">
        <f ca="1">IF(COUNTIFS('Daily entry'!$A$2:$A$3001,K$4,'Daily entry'!$B$2:$B$3001,$A18)&gt;0,"✓","✗")</f>
        <v>✗</v>
      </c>
      <c r="L18" s="5" t="str">
        <f ca="1">IF(COUNTIFS('Daily entry'!$A$2:$A$3001,L$4,'Daily entry'!$B$2:$B$3001,$A18)&gt;0,"✓","✗")</f>
        <v>✗</v>
      </c>
      <c r="M18" s="5" t="str">
        <f ca="1">IF(COUNTIFS('Daily entry'!$A$2:$A$3001,M$4,'Daily entry'!$B$2:$B$3001,$A18)&gt;0,"✓","✗")</f>
        <v>✗</v>
      </c>
      <c r="N18" s="5" t="str">
        <f ca="1">IF(COUNTIFS('Daily entry'!$A$2:$A$3001,N$4,'Daily entry'!$B$2:$B$3001,$A18)&gt;0,"✓","✗")</f>
        <v>✗</v>
      </c>
      <c r="O18" s="5" t="str">
        <f ca="1">IF(COUNTIFS('Daily entry'!$A$2:$A$3001,O$4,'Daily entry'!$B$2:$B$3001,$A18)&gt;0,"✓","✗")</f>
        <v>✗</v>
      </c>
      <c r="P18" s="5" t="str">
        <f ca="1">IF(COUNTIFS('Daily entry'!$A$2:$A$3001,P$4,'Daily entry'!$B$2:$B$3001,$A18)&gt;0,"✓","✗")</f>
        <v>✗</v>
      </c>
      <c r="Q18" s="5" t="str">
        <f ca="1">IF(COUNTIFS('Daily entry'!$A$2:$A$3001,Q$4,'Daily entry'!$B$2:$B$3001,$A18)&gt;0,"✓","✗")</f>
        <v>✗</v>
      </c>
    </row>
    <row r="19" spans="1:17" ht="15.75">
      <c r="A19" s="17" t="s">
        <v>46</v>
      </c>
      <c r="B19" s="4">
        <f t="shared" ca="1" si="0"/>
        <v>0</v>
      </c>
      <c r="C19" s="4" t="str">
        <f>IF(COUNTIF('Daily entry'!$B$2:$B$3001,$A24)=0,"Never",_xlfn.MAXIFS('Daily entry'!$A$2:$A$3001,'Daily entry'!$B$2:$B$3001,$A24))</f>
        <v>Never</v>
      </c>
      <c r="D19" s="5" t="str">
        <f ca="1">IF(COUNTIFS('Daily entry'!$A$2:$A$3001,D$4,'Daily entry'!$B$2:$B$3001,$A19)&gt;0,"✓","✗")</f>
        <v>✗</v>
      </c>
      <c r="E19" s="5" t="str">
        <f ca="1">IF(COUNTIFS('Daily entry'!$A$2:$A$3001,E$4,'Daily entry'!$B$2:$B$3001,$A19)&gt;0,"✓","✗")</f>
        <v>✗</v>
      </c>
      <c r="F19" s="5" t="str">
        <f ca="1">IF(COUNTIFS('Daily entry'!$A$2:$A$3001,F$4,'Daily entry'!$B$2:$B$3001,$A19)&gt;0,"✓","✗")</f>
        <v>✗</v>
      </c>
      <c r="G19" s="5" t="str">
        <f ca="1">IF(COUNTIFS('Daily entry'!$A$2:$A$3001,G$4,'Daily entry'!$B$2:$B$3001,$A19)&gt;0,"✓","✗")</f>
        <v>✗</v>
      </c>
      <c r="H19" s="5" t="str">
        <f ca="1">IF(COUNTIFS('Daily entry'!$A$2:$A$3001,H$4,'Daily entry'!$B$2:$B$3001,$A19)&gt;0,"✓","✗")</f>
        <v>✗</v>
      </c>
      <c r="I19" s="5" t="str">
        <f ca="1">IF(COUNTIFS('Daily entry'!$A$2:$A$3001,I$4,'Daily entry'!$B$2:$B$3001,$A19)&gt;0,"✓","✗")</f>
        <v>✗</v>
      </c>
      <c r="J19" s="5" t="str">
        <f ca="1">IF(COUNTIFS('Daily entry'!$A$2:$A$3001,J$4,'Daily entry'!$B$2:$B$3001,$A19)&gt;0,"✓","✗")</f>
        <v>✗</v>
      </c>
      <c r="K19" s="5" t="str">
        <f ca="1">IF(COUNTIFS('Daily entry'!$A$2:$A$3001,K$4,'Daily entry'!$B$2:$B$3001,$A19)&gt;0,"✓","✗")</f>
        <v>✗</v>
      </c>
      <c r="L19" s="5" t="str">
        <f ca="1">IF(COUNTIFS('Daily entry'!$A$2:$A$3001,L$4,'Daily entry'!$B$2:$B$3001,$A19)&gt;0,"✓","✗")</f>
        <v>✗</v>
      </c>
      <c r="M19" s="5" t="str">
        <f ca="1">IF(COUNTIFS('Daily entry'!$A$2:$A$3001,M$4,'Daily entry'!$B$2:$B$3001,$A19)&gt;0,"✓","✗")</f>
        <v>✗</v>
      </c>
      <c r="N19" s="5" t="str">
        <f ca="1">IF(COUNTIFS('Daily entry'!$A$2:$A$3001,N$4,'Daily entry'!$B$2:$B$3001,$A19)&gt;0,"✓","✗")</f>
        <v>✗</v>
      </c>
      <c r="O19" s="5" t="str">
        <f ca="1">IF(COUNTIFS('Daily entry'!$A$2:$A$3001,O$4,'Daily entry'!$B$2:$B$3001,$A19)&gt;0,"✓","✗")</f>
        <v>✗</v>
      </c>
      <c r="P19" s="5" t="str">
        <f ca="1">IF(COUNTIFS('Daily entry'!$A$2:$A$3001,P$4,'Daily entry'!$B$2:$B$3001,$A19)&gt;0,"✓","✗")</f>
        <v>✗</v>
      </c>
      <c r="Q19" s="5" t="str">
        <f ca="1">IF(COUNTIFS('Daily entry'!$A$2:$A$3001,Q$4,'Daily entry'!$B$2:$B$3001,$A19)&gt;0,"✓","✗")</f>
        <v>✗</v>
      </c>
    </row>
    <row r="20" spans="1:17" ht="15.75">
      <c r="A20" s="17" t="s">
        <v>47</v>
      </c>
      <c r="B20" s="4">
        <f t="shared" ca="1" si="0"/>
        <v>0</v>
      </c>
      <c r="C20" s="4" t="str">
        <f>IF(COUNTIF('Daily entry'!$B$2:$B$3001,$A25)=0,"Never",_xlfn.MAXIFS('Daily entry'!$A$2:$A$3001,'Daily entry'!$B$2:$B$3001,$A25))</f>
        <v>Never</v>
      </c>
      <c r="D20" s="5" t="str">
        <f ca="1">IF(COUNTIFS('Daily entry'!$A$2:$A$3001,D$4,'Daily entry'!$B$2:$B$3001,$A20)&gt;0,"✓","✗")</f>
        <v>✗</v>
      </c>
      <c r="E20" s="5" t="str">
        <f ca="1">IF(COUNTIFS('Daily entry'!$A$2:$A$3001,E$4,'Daily entry'!$B$2:$B$3001,$A20)&gt;0,"✓","✗")</f>
        <v>✗</v>
      </c>
      <c r="F20" s="5" t="str">
        <f ca="1">IF(COUNTIFS('Daily entry'!$A$2:$A$3001,F$4,'Daily entry'!$B$2:$B$3001,$A20)&gt;0,"✓","✗")</f>
        <v>✗</v>
      </c>
      <c r="G20" s="5" t="str">
        <f ca="1">IF(COUNTIFS('Daily entry'!$A$2:$A$3001,G$4,'Daily entry'!$B$2:$B$3001,$A20)&gt;0,"✓","✗")</f>
        <v>✗</v>
      </c>
      <c r="H20" s="5" t="str">
        <f ca="1">IF(COUNTIFS('Daily entry'!$A$2:$A$3001,H$4,'Daily entry'!$B$2:$B$3001,$A20)&gt;0,"✓","✗")</f>
        <v>✗</v>
      </c>
      <c r="I20" s="5" t="str">
        <f ca="1">IF(COUNTIFS('Daily entry'!$A$2:$A$3001,I$4,'Daily entry'!$B$2:$B$3001,$A20)&gt;0,"✓","✗")</f>
        <v>✗</v>
      </c>
      <c r="J20" s="5" t="str">
        <f ca="1">IF(COUNTIFS('Daily entry'!$A$2:$A$3001,J$4,'Daily entry'!$B$2:$B$3001,$A20)&gt;0,"✓","✗")</f>
        <v>✗</v>
      </c>
      <c r="K20" s="5" t="str">
        <f ca="1">IF(COUNTIFS('Daily entry'!$A$2:$A$3001,K$4,'Daily entry'!$B$2:$B$3001,$A20)&gt;0,"✓","✗")</f>
        <v>✗</v>
      </c>
      <c r="L20" s="5" t="str">
        <f ca="1">IF(COUNTIFS('Daily entry'!$A$2:$A$3001,L$4,'Daily entry'!$B$2:$B$3001,$A20)&gt;0,"✓","✗")</f>
        <v>✗</v>
      </c>
      <c r="M20" s="5" t="str">
        <f ca="1">IF(COUNTIFS('Daily entry'!$A$2:$A$3001,M$4,'Daily entry'!$B$2:$B$3001,$A20)&gt;0,"✓","✗")</f>
        <v>✗</v>
      </c>
      <c r="N20" s="5" t="str">
        <f ca="1">IF(COUNTIFS('Daily entry'!$A$2:$A$3001,N$4,'Daily entry'!$B$2:$B$3001,$A20)&gt;0,"✓","✗")</f>
        <v>✗</v>
      </c>
      <c r="O20" s="5" t="str">
        <f ca="1">IF(COUNTIFS('Daily entry'!$A$2:$A$3001,O$4,'Daily entry'!$B$2:$B$3001,$A20)&gt;0,"✓","✗")</f>
        <v>✗</v>
      </c>
      <c r="P20" s="5" t="str">
        <f ca="1">IF(COUNTIFS('Daily entry'!$A$2:$A$3001,P$4,'Daily entry'!$B$2:$B$3001,$A20)&gt;0,"✓","✗")</f>
        <v>✗</v>
      </c>
      <c r="Q20" s="5" t="str">
        <f ca="1">IF(COUNTIFS('Daily entry'!$A$2:$A$3001,Q$4,'Daily entry'!$B$2:$B$3001,$A20)&gt;0,"✓","✗")</f>
        <v>✗</v>
      </c>
    </row>
    <row r="21" spans="1:17" ht="15.75">
      <c r="A21" s="17" t="s">
        <v>48</v>
      </c>
      <c r="B21" s="4">
        <f t="shared" ca="1" si="0"/>
        <v>0</v>
      </c>
      <c r="C21" s="4" t="str">
        <f>IF(COUNTIF('Daily entry'!$B$2:$B$3001,$A26)=0,"Never",_xlfn.MAXIFS('Daily entry'!$A$2:$A$3001,'Daily entry'!$B$2:$B$3001,$A26))</f>
        <v>Never</v>
      </c>
      <c r="D21" s="5" t="str">
        <f ca="1">IF(COUNTIFS('Daily entry'!$A$2:$A$3001,D$4,'Daily entry'!$B$2:$B$3001,$A21)&gt;0,"✓","✗")</f>
        <v>✗</v>
      </c>
      <c r="E21" s="5" t="str">
        <f ca="1">IF(COUNTIFS('Daily entry'!$A$2:$A$3001,E$4,'Daily entry'!$B$2:$B$3001,$A21)&gt;0,"✓","✗")</f>
        <v>✗</v>
      </c>
      <c r="F21" s="5" t="str">
        <f ca="1">IF(COUNTIFS('Daily entry'!$A$2:$A$3001,F$4,'Daily entry'!$B$2:$B$3001,$A21)&gt;0,"✓","✗")</f>
        <v>✗</v>
      </c>
      <c r="G21" s="5" t="str">
        <f ca="1">IF(COUNTIFS('Daily entry'!$A$2:$A$3001,G$4,'Daily entry'!$B$2:$B$3001,$A21)&gt;0,"✓","✗")</f>
        <v>✗</v>
      </c>
      <c r="H21" s="5" t="str">
        <f ca="1">IF(COUNTIFS('Daily entry'!$A$2:$A$3001,H$4,'Daily entry'!$B$2:$B$3001,$A21)&gt;0,"✓","✗")</f>
        <v>✗</v>
      </c>
      <c r="I21" s="5" t="str">
        <f ca="1">IF(COUNTIFS('Daily entry'!$A$2:$A$3001,I$4,'Daily entry'!$B$2:$B$3001,$A21)&gt;0,"✓","✗")</f>
        <v>✗</v>
      </c>
      <c r="J21" s="5" t="str">
        <f ca="1">IF(COUNTIFS('Daily entry'!$A$2:$A$3001,J$4,'Daily entry'!$B$2:$B$3001,$A21)&gt;0,"✓","✗")</f>
        <v>✗</v>
      </c>
      <c r="K21" s="5" t="str">
        <f ca="1">IF(COUNTIFS('Daily entry'!$A$2:$A$3001,K$4,'Daily entry'!$B$2:$B$3001,$A21)&gt;0,"✓","✗")</f>
        <v>✗</v>
      </c>
      <c r="L21" s="5" t="str">
        <f ca="1">IF(COUNTIFS('Daily entry'!$A$2:$A$3001,L$4,'Daily entry'!$B$2:$B$3001,$A21)&gt;0,"✓","✗")</f>
        <v>✗</v>
      </c>
      <c r="M21" s="5" t="str">
        <f ca="1">IF(COUNTIFS('Daily entry'!$A$2:$A$3001,M$4,'Daily entry'!$B$2:$B$3001,$A21)&gt;0,"✓","✗")</f>
        <v>✗</v>
      </c>
      <c r="N21" s="5" t="str">
        <f ca="1">IF(COUNTIFS('Daily entry'!$A$2:$A$3001,N$4,'Daily entry'!$B$2:$B$3001,$A21)&gt;0,"✓","✗")</f>
        <v>✗</v>
      </c>
      <c r="O21" s="5" t="str">
        <f ca="1">IF(COUNTIFS('Daily entry'!$A$2:$A$3001,O$4,'Daily entry'!$B$2:$B$3001,$A21)&gt;0,"✓","✗")</f>
        <v>✗</v>
      </c>
      <c r="P21" s="5" t="str">
        <f ca="1">IF(COUNTIFS('Daily entry'!$A$2:$A$3001,P$4,'Daily entry'!$B$2:$B$3001,$A21)&gt;0,"✓","✗")</f>
        <v>✗</v>
      </c>
      <c r="Q21" s="5" t="str">
        <f ca="1">IF(COUNTIFS('Daily entry'!$A$2:$A$3001,Q$4,'Daily entry'!$B$2:$B$3001,$A21)&gt;0,"✓","✗")</f>
        <v>✗</v>
      </c>
    </row>
    <row r="22" spans="1:17" ht="15.75">
      <c r="A22" s="17" t="s">
        <v>49</v>
      </c>
      <c r="B22" s="4">
        <f t="shared" ca="1" si="0"/>
        <v>0</v>
      </c>
      <c r="C22" s="4" t="str">
        <f>IF(COUNTIF('Daily entry'!$B$2:$B$3001,$A27)=0,"Never",_xlfn.MAXIFS('Daily entry'!$A$2:$A$3001,'Daily entry'!$B$2:$B$3001,$A27))</f>
        <v>Never</v>
      </c>
      <c r="D22" s="5" t="str">
        <f ca="1">IF(COUNTIFS('Daily entry'!$A$2:$A$3001,D$4,'Daily entry'!$B$2:$B$3001,$A22)&gt;0,"✓","✗")</f>
        <v>✗</v>
      </c>
      <c r="E22" s="5" t="str">
        <f ca="1">IF(COUNTIFS('Daily entry'!$A$2:$A$3001,E$4,'Daily entry'!$B$2:$B$3001,$A22)&gt;0,"✓","✗")</f>
        <v>✗</v>
      </c>
      <c r="F22" s="5" t="str">
        <f ca="1">IF(COUNTIFS('Daily entry'!$A$2:$A$3001,F$4,'Daily entry'!$B$2:$B$3001,$A22)&gt;0,"✓","✗")</f>
        <v>✗</v>
      </c>
      <c r="G22" s="5" t="str">
        <f ca="1">IF(COUNTIFS('Daily entry'!$A$2:$A$3001,G$4,'Daily entry'!$B$2:$B$3001,$A22)&gt;0,"✓","✗")</f>
        <v>✗</v>
      </c>
      <c r="H22" s="5" t="str">
        <f ca="1">IF(COUNTIFS('Daily entry'!$A$2:$A$3001,H$4,'Daily entry'!$B$2:$B$3001,$A22)&gt;0,"✓","✗")</f>
        <v>✗</v>
      </c>
      <c r="I22" s="5" t="str">
        <f ca="1">IF(COUNTIFS('Daily entry'!$A$2:$A$3001,I$4,'Daily entry'!$B$2:$B$3001,$A22)&gt;0,"✓","✗")</f>
        <v>✗</v>
      </c>
      <c r="J22" s="5" t="str">
        <f ca="1">IF(COUNTIFS('Daily entry'!$A$2:$A$3001,J$4,'Daily entry'!$B$2:$B$3001,$A22)&gt;0,"✓","✗")</f>
        <v>✗</v>
      </c>
      <c r="K22" s="5" t="str">
        <f ca="1">IF(COUNTIFS('Daily entry'!$A$2:$A$3001,K$4,'Daily entry'!$B$2:$B$3001,$A22)&gt;0,"✓","✗")</f>
        <v>✗</v>
      </c>
      <c r="L22" s="5" t="str">
        <f ca="1">IF(COUNTIFS('Daily entry'!$A$2:$A$3001,L$4,'Daily entry'!$B$2:$B$3001,$A22)&gt;0,"✓","✗")</f>
        <v>✗</v>
      </c>
      <c r="M22" s="5" t="str">
        <f ca="1">IF(COUNTIFS('Daily entry'!$A$2:$A$3001,M$4,'Daily entry'!$B$2:$B$3001,$A22)&gt;0,"✓","✗")</f>
        <v>✗</v>
      </c>
      <c r="N22" s="5" t="str">
        <f ca="1">IF(COUNTIFS('Daily entry'!$A$2:$A$3001,N$4,'Daily entry'!$B$2:$B$3001,$A22)&gt;0,"✓","✗")</f>
        <v>✗</v>
      </c>
      <c r="O22" s="5" t="str">
        <f ca="1">IF(COUNTIFS('Daily entry'!$A$2:$A$3001,O$4,'Daily entry'!$B$2:$B$3001,$A22)&gt;0,"✓","✗")</f>
        <v>✗</v>
      </c>
      <c r="P22" s="5" t="str">
        <f ca="1">IF(COUNTIFS('Daily entry'!$A$2:$A$3001,P$4,'Daily entry'!$B$2:$B$3001,$A22)&gt;0,"✓","✗")</f>
        <v>✗</v>
      </c>
      <c r="Q22" s="5" t="str">
        <f ca="1">IF(COUNTIFS('Daily entry'!$A$2:$A$3001,Q$4,'Daily entry'!$B$2:$B$3001,$A22)&gt;0,"✓","✗")</f>
        <v>✗</v>
      </c>
    </row>
    <row r="23" spans="1:17" ht="15.75">
      <c r="A23" s="17" t="s">
        <v>51</v>
      </c>
      <c r="B23" s="4">
        <f t="shared" ca="1" si="0"/>
        <v>0</v>
      </c>
      <c r="C23" s="4" t="str">
        <f>IF(COUNTIF('Daily entry'!$B$2:$B$3001,$A28)=0,"Never",_xlfn.MAXIFS('Daily entry'!$A$2:$A$3001,'Daily entry'!$B$2:$B$3001,$A28))</f>
        <v>Never</v>
      </c>
      <c r="D23" s="5" t="str">
        <f ca="1">IF(COUNTIFS('Daily entry'!$A$2:$A$3001,D$4,'Daily entry'!$B$2:$B$3001,$A23)&gt;0,"✓","✗")</f>
        <v>✗</v>
      </c>
      <c r="E23" s="5" t="str">
        <f ca="1">IF(COUNTIFS('Daily entry'!$A$2:$A$3001,E$4,'Daily entry'!$B$2:$B$3001,$A23)&gt;0,"✓","✗")</f>
        <v>✗</v>
      </c>
      <c r="F23" s="5" t="str">
        <f ca="1">IF(COUNTIFS('Daily entry'!$A$2:$A$3001,F$4,'Daily entry'!$B$2:$B$3001,$A23)&gt;0,"✓","✗")</f>
        <v>✗</v>
      </c>
      <c r="G23" s="5" t="str">
        <f ca="1">IF(COUNTIFS('Daily entry'!$A$2:$A$3001,G$4,'Daily entry'!$B$2:$B$3001,$A23)&gt;0,"✓","✗")</f>
        <v>✗</v>
      </c>
      <c r="H23" s="5" t="str">
        <f ca="1">IF(COUNTIFS('Daily entry'!$A$2:$A$3001,H$4,'Daily entry'!$B$2:$B$3001,$A23)&gt;0,"✓","✗")</f>
        <v>✗</v>
      </c>
      <c r="I23" s="5" t="str">
        <f ca="1">IF(COUNTIFS('Daily entry'!$A$2:$A$3001,I$4,'Daily entry'!$B$2:$B$3001,$A23)&gt;0,"✓","✗")</f>
        <v>✗</v>
      </c>
      <c r="J23" s="5" t="str">
        <f ca="1">IF(COUNTIFS('Daily entry'!$A$2:$A$3001,J$4,'Daily entry'!$B$2:$B$3001,$A23)&gt;0,"✓","✗")</f>
        <v>✗</v>
      </c>
      <c r="K23" s="5" t="str">
        <f ca="1">IF(COUNTIFS('Daily entry'!$A$2:$A$3001,K$4,'Daily entry'!$B$2:$B$3001,$A23)&gt;0,"✓","✗")</f>
        <v>✗</v>
      </c>
      <c r="L23" s="5" t="str">
        <f ca="1">IF(COUNTIFS('Daily entry'!$A$2:$A$3001,L$4,'Daily entry'!$B$2:$B$3001,$A23)&gt;0,"✓","✗")</f>
        <v>✗</v>
      </c>
      <c r="M23" s="5" t="str">
        <f ca="1">IF(COUNTIFS('Daily entry'!$A$2:$A$3001,M$4,'Daily entry'!$B$2:$B$3001,$A23)&gt;0,"✓","✗")</f>
        <v>✗</v>
      </c>
      <c r="N23" s="5" t="str">
        <f ca="1">IF(COUNTIFS('Daily entry'!$A$2:$A$3001,N$4,'Daily entry'!$B$2:$B$3001,$A23)&gt;0,"✓","✗")</f>
        <v>✗</v>
      </c>
      <c r="O23" s="5" t="str">
        <f ca="1">IF(COUNTIFS('Daily entry'!$A$2:$A$3001,O$4,'Daily entry'!$B$2:$B$3001,$A23)&gt;0,"✓","✗")</f>
        <v>✗</v>
      </c>
      <c r="P23" s="5" t="str">
        <f ca="1">IF(COUNTIFS('Daily entry'!$A$2:$A$3001,P$4,'Daily entry'!$B$2:$B$3001,$A23)&gt;0,"✓","✗")</f>
        <v>✗</v>
      </c>
      <c r="Q23" s="5" t="str">
        <f ca="1">IF(COUNTIFS('Daily entry'!$A$2:$A$3001,Q$4,'Daily entry'!$B$2:$B$3001,$A23)&gt;0,"✓","✗")</f>
        <v>✗</v>
      </c>
    </row>
    <row r="24" spans="1:17" ht="15.75">
      <c r="A24" s="17" t="s">
        <v>54</v>
      </c>
      <c r="B24" s="4">
        <f t="shared" ca="1" si="0"/>
        <v>0</v>
      </c>
      <c r="C24" s="4" t="str">
        <f>IF(COUNTIF('Daily entry'!$B$2:$B$3001,$A29)=0,"Never",_xlfn.MAXIFS('Daily entry'!$A$2:$A$3001,'Daily entry'!$B$2:$B$3001,$A29))</f>
        <v>Never</v>
      </c>
      <c r="D24" s="5" t="str">
        <f ca="1">IF(COUNTIFS('Daily entry'!$A$2:$A$3001,D$4,'Daily entry'!$B$2:$B$3001,$A24)&gt;0,"✓","✗")</f>
        <v>✗</v>
      </c>
      <c r="E24" s="5" t="str">
        <f ca="1">IF(COUNTIFS('Daily entry'!$A$2:$A$3001,E$4,'Daily entry'!$B$2:$B$3001,$A24)&gt;0,"✓","✗")</f>
        <v>✗</v>
      </c>
      <c r="F24" s="5" t="str">
        <f ca="1">IF(COUNTIFS('Daily entry'!$A$2:$A$3001,F$4,'Daily entry'!$B$2:$B$3001,$A24)&gt;0,"✓","✗")</f>
        <v>✗</v>
      </c>
      <c r="G24" s="5" t="str">
        <f ca="1">IF(COUNTIFS('Daily entry'!$A$2:$A$3001,G$4,'Daily entry'!$B$2:$B$3001,$A24)&gt;0,"✓","✗")</f>
        <v>✗</v>
      </c>
      <c r="H24" s="5" t="str">
        <f ca="1">IF(COUNTIFS('Daily entry'!$A$2:$A$3001,H$4,'Daily entry'!$B$2:$B$3001,$A24)&gt;0,"✓","✗")</f>
        <v>✗</v>
      </c>
      <c r="I24" s="5" t="str">
        <f ca="1">IF(COUNTIFS('Daily entry'!$A$2:$A$3001,I$4,'Daily entry'!$B$2:$B$3001,$A24)&gt;0,"✓","✗")</f>
        <v>✗</v>
      </c>
      <c r="J24" s="5" t="str">
        <f ca="1">IF(COUNTIFS('Daily entry'!$A$2:$A$3001,J$4,'Daily entry'!$B$2:$B$3001,$A24)&gt;0,"✓","✗")</f>
        <v>✗</v>
      </c>
      <c r="K24" s="5" t="str">
        <f ca="1">IF(COUNTIFS('Daily entry'!$A$2:$A$3001,K$4,'Daily entry'!$B$2:$B$3001,$A24)&gt;0,"✓","✗")</f>
        <v>✗</v>
      </c>
      <c r="L24" s="5" t="str">
        <f ca="1">IF(COUNTIFS('Daily entry'!$A$2:$A$3001,L$4,'Daily entry'!$B$2:$B$3001,$A24)&gt;0,"✓","✗")</f>
        <v>✗</v>
      </c>
      <c r="M24" s="5" t="str">
        <f ca="1">IF(COUNTIFS('Daily entry'!$A$2:$A$3001,M$4,'Daily entry'!$B$2:$B$3001,$A24)&gt;0,"✓","✗")</f>
        <v>✗</v>
      </c>
      <c r="N24" s="5" t="str">
        <f ca="1">IF(COUNTIFS('Daily entry'!$A$2:$A$3001,N$4,'Daily entry'!$B$2:$B$3001,$A24)&gt;0,"✓","✗")</f>
        <v>✗</v>
      </c>
      <c r="O24" s="5" t="str">
        <f ca="1">IF(COUNTIFS('Daily entry'!$A$2:$A$3001,O$4,'Daily entry'!$B$2:$B$3001,$A24)&gt;0,"✓","✗")</f>
        <v>✗</v>
      </c>
      <c r="P24" s="5" t="str">
        <f ca="1">IF(COUNTIFS('Daily entry'!$A$2:$A$3001,P$4,'Daily entry'!$B$2:$B$3001,$A24)&gt;0,"✓","✗")</f>
        <v>✗</v>
      </c>
      <c r="Q24" s="5" t="str">
        <f ca="1">IF(COUNTIFS('Daily entry'!$A$2:$A$3001,Q$4,'Daily entry'!$B$2:$B$3001,$A24)&gt;0,"✓","✗")</f>
        <v>✗</v>
      </c>
    </row>
    <row r="25" spans="1:17" ht="15.75">
      <c r="A25" s="17" t="s">
        <v>55</v>
      </c>
      <c r="B25" s="4">
        <f t="shared" ca="1" si="0"/>
        <v>0</v>
      </c>
      <c r="C25" s="4" t="str">
        <f>IF(COUNTIF('Daily entry'!$B$2:$B$3001,$A30)=0,"Never",_xlfn.MAXIFS('Daily entry'!$A$2:$A$3001,'Daily entry'!$B$2:$B$3001,$A30))</f>
        <v>Never</v>
      </c>
      <c r="D25" s="5" t="str">
        <f ca="1">IF(COUNTIFS('Daily entry'!$A$2:$A$3001,D$4,'Daily entry'!$B$2:$B$3001,$A25)&gt;0,"✓","✗")</f>
        <v>✗</v>
      </c>
      <c r="E25" s="5" t="str">
        <f ca="1">IF(COUNTIFS('Daily entry'!$A$2:$A$3001,E$4,'Daily entry'!$B$2:$B$3001,$A25)&gt;0,"✓","✗")</f>
        <v>✗</v>
      </c>
      <c r="F25" s="5" t="str">
        <f ca="1">IF(COUNTIFS('Daily entry'!$A$2:$A$3001,F$4,'Daily entry'!$B$2:$B$3001,$A25)&gt;0,"✓","✗")</f>
        <v>✗</v>
      </c>
      <c r="G25" s="5" t="str">
        <f ca="1">IF(COUNTIFS('Daily entry'!$A$2:$A$3001,G$4,'Daily entry'!$B$2:$B$3001,$A25)&gt;0,"✓","✗")</f>
        <v>✗</v>
      </c>
      <c r="H25" s="5" t="str">
        <f ca="1">IF(COUNTIFS('Daily entry'!$A$2:$A$3001,H$4,'Daily entry'!$B$2:$B$3001,$A25)&gt;0,"✓","✗")</f>
        <v>✗</v>
      </c>
      <c r="I25" s="5" t="str">
        <f ca="1">IF(COUNTIFS('Daily entry'!$A$2:$A$3001,I$4,'Daily entry'!$B$2:$B$3001,$A25)&gt;0,"✓","✗")</f>
        <v>✗</v>
      </c>
      <c r="J25" s="5" t="str">
        <f ca="1">IF(COUNTIFS('Daily entry'!$A$2:$A$3001,J$4,'Daily entry'!$B$2:$B$3001,$A25)&gt;0,"✓","✗")</f>
        <v>✗</v>
      </c>
      <c r="K25" s="5" t="str">
        <f ca="1">IF(COUNTIFS('Daily entry'!$A$2:$A$3001,K$4,'Daily entry'!$B$2:$B$3001,$A25)&gt;0,"✓","✗")</f>
        <v>✗</v>
      </c>
      <c r="L25" s="5" t="str">
        <f ca="1">IF(COUNTIFS('Daily entry'!$A$2:$A$3001,L$4,'Daily entry'!$B$2:$B$3001,$A25)&gt;0,"✓","✗")</f>
        <v>✗</v>
      </c>
      <c r="M25" s="5" t="str">
        <f ca="1">IF(COUNTIFS('Daily entry'!$A$2:$A$3001,M$4,'Daily entry'!$B$2:$B$3001,$A25)&gt;0,"✓","✗")</f>
        <v>✗</v>
      </c>
      <c r="N25" s="5" t="str">
        <f ca="1">IF(COUNTIFS('Daily entry'!$A$2:$A$3001,N$4,'Daily entry'!$B$2:$B$3001,$A25)&gt;0,"✓","✗")</f>
        <v>✗</v>
      </c>
      <c r="O25" s="5" t="str">
        <f ca="1">IF(COUNTIFS('Daily entry'!$A$2:$A$3001,O$4,'Daily entry'!$B$2:$B$3001,$A25)&gt;0,"✓","✗")</f>
        <v>✗</v>
      </c>
      <c r="P25" s="5" t="str">
        <f ca="1">IF(COUNTIFS('Daily entry'!$A$2:$A$3001,P$4,'Daily entry'!$B$2:$B$3001,$A25)&gt;0,"✓","✗")</f>
        <v>✗</v>
      </c>
      <c r="Q25" s="5" t="str">
        <f ca="1">IF(COUNTIFS('Daily entry'!$A$2:$A$3001,Q$4,'Daily entry'!$B$2:$B$3001,$A25)&gt;0,"✓","✗")</f>
        <v>✗</v>
      </c>
    </row>
    <row r="26" spans="1:17" ht="15.75">
      <c r="A26" s="17" t="s">
        <v>57</v>
      </c>
      <c r="B26" s="4">
        <f t="shared" ca="1" si="0"/>
        <v>0</v>
      </c>
      <c r="C26" s="4" t="str">
        <f>IF(COUNTIF('Daily entry'!$B$2:$B$3001,$A31)=0,"Never",_xlfn.MAXIFS('Daily entry'!$A$2:$A$3001,'Daily entry'!$B$2:$B$3001,$A31))</f>
        <v>Never</v>
      </c>
      <c r="D26" s="5" t="str">
        <f ca="1">IF(COUNTIFS('Daily entry'!$A$2:$A$3001,D$4,'Daily entry'!$B$2:$B$3001,$A26)&gt;0,"✓","✗")</f>
        <v>✗</v>
      </c>
      <c r="E26" s="5" t="str">
        <f ca="1">IF(COUNTIFS('Daily entry'!$A$2:$A$3001,E$4,'Daily entry'!$B$2:$B$3001,$A26)&gt;0,"✓","✗")</f>
        <v>✗</v>
      </c>
      <c r="F26" s="5" t="str">
        <f ca="1">IF(COUNTIFS('Daily entry'!$A$2:$A$3001,F$4,'Daily entry'!$B$2:$B$3001,$A26)&gt;0,"✓","✗")</f>
        <v>✗</v>
      </c>
      <c r="G26" s="5" t="str">
        <f ca="1">IF(COUNTIFS('Daily entry'!$A$2:$A$3001,G$4,'Daily entry'!$B$2:$B$3001,$A26)&gt;0,"✓","✗")</f>
        <v>✗</v>
      </c>
      <c r="H26" s="5" t="str">
        <f ca="1">IF(COUNTIFS('Daily entry'!$A$2:$A$3001,H$4,'Daily entry'!$B$2:$B$3001,$A26)&gt;0,"✓","✗")</f>
        <v>✗</v>
      </c>
      <c r="I26" s="5" t="str">
        <f ca="1">IF(COUNTIFS('Daily entry'!$A$2:$A$3001,I$4,'Daily entry'!$B$2:$B$3001,$A26)&gt;0,"✓","✗")</f>
        <v>✗</v>
      </c>
      <c r="J26" s="5" t="str">
        <f ca="1">IF(COUNTIFS('Daily entry'!$A$2:$A$3001,J$4,'Daily entry'!$B$2:$B$3001,$A26)&gt;0,"✓","✗")</f>
        <v>✗</v>
      </c>
      <c r="K26" s="5" t="str">
        <f ca="1">IF(COUNTIFS('Daily entry'!$A$2:$A$3001,K$4,'Daily entry'!$B$2:$B$3001,$A26)&gt;0,"✓","✗")</f>
        <v>✗</v>
      </c>
      <c r="L26" s="5" t="str">
        <f ca="1">IF(COUNTIFS('Daily entry'!$A$2:$A$3001,L$4,'Daily entry'!$B$2:$B$3001,$A26)&gt;0,"✓","✗")</f>
        <v>✗</v>
      </c>
      <c r="M26" s="5" t="str">
        <f ca="1">IF(COUNTIFS('Daily entry'!$A$2:$A$3001,M$4,'Daily entry'!$B$2:$B$3001,$A26)&gt;0,"✓","✗")</f>
        <v>✗</v>
      </c>
      <c r="N26" s="5" t="str">
        <f ca="1">IF(COUNTIFS('Daily entry'!$A$2:$A$3001,N$4,'Daily entry'!$B$2:$B$3001,$A26)&gt;0,"✓","✗")</f>
        <v>✗</v>
      </c>
      <c r="O26" s="5" t="str">
        <f ca="1">IF(COUNTIFS('Daily entry'!$A$2:$A$3001,O$4,'Daily entry'!$B$2:$B$3001,$A26)&gt;0,"✓","✗")</f>
        <v>✗</v>
      </c>
      <c r="P26" s="5" t="str">
        <f ca="1">IF(COUNTIFS('Daily entry'!$A$2:$A$3001,P$4,'Daily entry'!$B$2:$B$3001,$A26)&gt;0,"✓","✗")</f>
        <v>✗</v>
      </c>
      <c r="Q26" s="5" t="str">
        <f ca="1">IF(COUNTIFS('Daily entry'!$A$2:$A$3001,Q$4,'Daily entry'!$B$2:$B$3001,$A26)&gt;0,"✓","✗")</f>
        <v>✗</v>
      </c>
    </row>
    <row r="27" spans="1:17" ht="15.75">
      <c r="A27" s="17" t="s">
        <v>58</v>
      </c>
      <c r="B27" s="4">
        <f t="shared" ca="1" si="0"/>
        <v>0</v>
      </c>
      <c r="C27" s="4" t="str">
        <f>IF(COUNTIF('Daily entry'!$B$2:$B$3001,$A32)=0,"Never",_xlfn.MAXIFS('Daily entry'!$A$2:$A$3001,'Daily entry'!$B$2:$B$3001,$A32))</f>
        <v>Never</v>
      </c>
      <c r="D27" s="5" t="str">
        <f ca="1">IF(COUNTIFS('Daily entry'!$A$2:$A$3001,D$4,'Daily entry'!$B$2:$B$3001,$A27)&gt;0,"✓","✗")</f>
        <v>✗</v>
      </c>
      <c r="E27" s="5" t="str">
        <f ca="1">IF(COUNTIFS('Daily entry'!$A$2:$A$3001,E$4,'Daily entry'!$B$2:$B$3001,$A27)&gt;0,"✓","✗")</f>
        <v>✗</v>
      </c>
      <c r="F27" s="5" t="str">
        <f ca="1">IF(COUNTIFS('Daily entry'!$A$2:$A$3001,F$4,'Daily entry'!$B$2:$B$3001,$A27)&gt;0,"✓","✗")</f>
        <v>✗</v>
      </c>
      <c r="G27" s="5" t="str">
        <f ca="1">IF(COUNTIFS('Daily entry'!$A$2:$A$3001,G$4,'Daily entry'!$B$2:$B$3001,$A27)&gt;0,"✓","✗")</f>
        <v>✗</v>
      </c>
      <c r="H27" s="5" t="str">
        <f ca="1">IF(COUNTIFS('Daily entry'!$A$2:$A$3001,H$4,'Daily entry'!$B$2:$B$3001,$A27)&gt;0,"✓","✗")</f>
        <v>✗</v>
      </c>
      <c r="I27" s="5" t="str">
        <f ca="1">IF(COUNTIFS('Daily entry'!$A$2:$A$3001,I$4,'Daily entry'!$B$2:$B$3001,$A27)&gt;0,"✓","✗")</f>
        <v>✗</v>
      </c>
      <c r="J27" s="5" t="str">
        <f ca="1">IF(COUNTIFS('Daily entry'!$A$2:$A$3001,J$4,'Daily entry'!$B$2:$B$3001,$A27)&gt;0,"✓","✗")</f>
        <v>✗</v>
      </c>
      <c r="K27" s="5" t="str">
        <f ca="1">IF(COUNTIFS('Daily entry'!$A$2:$A$3001,K$4,'Daily entry'!$B$2:$B$3001,$A27)&gt;0,"✓","✗")</f>
        <v>✗</v>
      </c>
      <c r="L27" s="5" t="str">
        <f ca="1">IF(COUNTIFS('Daily entry'!$A$2:$A$3001,L$4,'Daily entry'!$B$2:$B$3001,$A27)&gt;0,"✓","✗")</f>
        <v>✗</v>
      </c>
      <c r="M27" s="5" t="str">
        <f ca="1">IF(COUNTIFS('Daily entry'!$A$2:$A$3001,M$4,'Daily entry'!$B$2:$B$3001,$A27)&gt;0,"✓","✗")</f>
        <v>✗</v>
      </c>
      <c r="N27" s="5" t="str">
        <f ca="1">IF(COUNTIFS('Daily entry'!$A$2:$A$3001,N$4,'Daily entry'!$B$2:$B$3001,$A27)&gt;0,"✓","✗")</f>
        <v>✗</v>
      </c>
      <c r="O27" s="5" t="str">
        <f ca="1">IF(COUNTIFS('Daily entry'!$A$2:$A$3001,O$4,'Daily entry'!$B$2:$B$3001,$A27)&gt;0,"✓","✗")</f>
        <v>✗</v>
      </c>
      <c r="P27" s="5" t="str">
        <f ca="1">IF(COUNTIFS('Daily entry'!$A$2:$A$3001,P$4,'Daily entry'!$B$2:$B$3001,$A27)&gt;0,"✓","✗")</f>
        <v>✗</v>
      </c>
      <c r="Q27" s="5" t="str">
        <f ca="1">IF(COUNTIFS('Daily entry'!$A$2:$A$3001,Q$4,'Daily entry'!$B$2:$B$3001,$A27)&gt;0,"✓","✗")</f>
        <v>✗</v>
      </c>
    </row>
    <row r="28" spans="1:17" ht="15.75">
      <c r="A28" s="17" t="s">
        <v>59</v>
      </c>
      <c r="B28" s="4">
        <f t="shared" ca="1" si="0"/>
        <v>0</v>
      </c>
      <c r="C28" s="4" t="str">
        <f>IF(COUNTIF('Daily entry'!$B$2:$B$3001,$A33)=0,"Never",_xlfn.MAXIFS('Daily entry'!$A$2:$A$3001,'Daily entry'!$B$2:$B$3001,$A33))</f>
        <v>Never</v>
      </c>
      <c r="D28" s="5" t="str">
        <f ca="1">IF(COUNTIFS('Daily entry'!$A$2:$A$3001,D$4,'Daily entry'!$B$2:$B$3001,$A28)&gt;0,"✓","✗")</f>
        <v>✗</v>
      </c>
      <c r="E28" s="5" t="str">
        <f ca="1">IF(COUNTIFS('Daily entry'!$A$2:$A$3001,E$4,'Daily entry'!$B$2:$B$3001,$A28)&gt;0,"✓","✗")</f>
        <v>✗</v>
      </c>
      <c r="F28" s="5" t="str">
        <f ca="1">IF(COUNTIFS('Daily entry'!$A$2:$A$3001,F$4,'Daily entry'!$B$2:$B$3001,$A28)&gt;0,"✓","✗")</f>
        <v>✗</v>
      </c>
      <c r="G28" s="5" t="str">
        <f ca="1">IF(COUNTIFS('Daily entry'!$A$2:$A$3001,G$4,'Daily entry'!$B$2:$B$3001,$A28)&gt;0,"✓","✗")</f>
        <v>✗</v>
      </c>
      <c r="H28" s="5" t="str">
        <f ca="1">IF(COUNTIFS('Daily entry'!$A$2:$A$3001,H$4,'Daily entry'!$B$2:$B$3001,$A28)&gt;0,"✓","✗")</f>
        <v>✗</v>
      </c>
      <c r="I28" s="5" t="str">
        <f ca="1">IF(COUNTIFS('Daily entry'!$A$2:$A$3001,I$4,'Daily entry'!$B$2:$B$3001,$A28)&gt;0,"✓","✗")</f>
        <v>✗</v>
      </c>
      <c r="J28" s="5" t="str">
        <f ca="1">IF(COUNTIFS('Daily entry'!$A$2:$A$3001,J$4,'Daily entry'!$B$2:$B$3001,$A28)&gt;0,"✓","✗")</f>
        <v>✗</v>
      </c>
      <c r="K28" s="5" t="str">
        <f ca="1">IF(COUNTIFS('Daily entry'!$A$2:$A$3001,K$4,'Daily entry'!$B$2:$B$3001,$A28)&gt;0,"✓","✗")</f>
        <v>✗</v>
      </c>
      <c r="L28" s="5" t="str">
        <f ca="1">IF(COUNTIFS('Daily entry'!$A$2:$A$3001,L$4,'Daily entry'!$B$2:$B$3001,$A28)&gt;0,"✓","✗")</f>
        <v>✗</v>
      </c>
      <c r="M28" s="5" t="str">
        <f ca="1">IF(COUNTIFS('Daily entry'!$A$2:$A$3001,M$4,'Daily entry'!$B$2:$B$3001,$A28)&gt;0,"✓","✗")</f>
        <v>✗</v>
      </c>
      <c r="N28" s="5" t="str">
        <f ca="1">IF(COUNTIFS('Daily entry'!$A$2:$A$3001,N$4,'Daily entry'!$B$2:$B$3001,$A28)&gt;0,"✓","✗")</f>
        <v>✗</v>
      </c>
      <c r="O28" s="5" t="str">
        <f ca="1">IF(COUNTIFS('Daily entry'!$A$2:$A$3001,O$4,'Daily entry'!$B$2:$B$3001,$A28)&gt;0,"✓","✗")</f>
        <v>✗</v>
      </c>
      <c r="P28" s="5" t="str">
        <f ca="1">IF(COUNTIFS('Daily entry'!$A$2:$A$3001,P$4,'Daily entry'!$B$2:$B$3001,$A28)&gt;0,"✓","✗")</f>
        <v>✗</v>
      </c>
      <c r="Q28" s="5" t="str">
        <f ca="1">IF(COUNTIFS('Daily entry'!$A$2:$A$3001,Q$4,'Daily entry'!$B$2:$B$3001,$A28)&gt;0,"✓","✗")</f>
        <v>✗</v>
      </c>
    </row>
    <row r="29" spans="1:17" ht="15.75">
      <c r="A29" s="17" t="s">
        <v>61</v>
      </c>
      <c r="B29" s="4">
        <f t="shared" ca="1" si="0"/>
        <v>0</v>
      </c>
      <c r="C29" s="4" t="str">
        <f>IF(COUNTIF('Daily entry'!$B$2:$B$3001,$A34)=0,"Never",_xlfn.MAXIFS('Daily entry'!$A$2:$A$3001,'Daily entry'!$B$2:$B$3001,$A34))</f>
        <v>Never</v>
      </c>
      <c r="D29" s="5" t="str">
        <f ca="1">IF(COUNTIFS('Daily entry'!$A$2:$A$3001,D$4,'Daily entry'!$B$2:$B$3001,$A29)&gt;0,"✓","✗")</f>
        <v>✗</v>
      </c>
      <c r="E29" s="5" t="str">
        <f ca="1">IF(COUNTIFS('Daily entry'!$A$2:$A$3001,E$4,'Daily entry'!$B$2:$B$3001,$A29)&gt;0,"✓","✗")</f>
        <v>✗</v>
      </c>
      <c r="F29" s="5" t="str">
        <f ca="1">IF(COUNTIFS('Daily entry'!$A$2:$A$3001,F$4,'Daily entry'!$B$2:$B$3001,$A29)&gt;0,"✓","✗")</f>
        <v>✗</v>
      </c>
      <c r="G29" s="5" t="str">
        <f ca="1">IF(COUNTIFS('Daily entry'!$A$2:$A$3001,G$4,'Daily entry'!$B$2:$B$3001,$A29)&gt;0,"✓","✗")</f>
        <v>✗</v>
      </c>
      <c r="H29" s="5" t="str">
        <f ca="1">IF(COUNTIFS('Daily entry'!$A$2:$A$3001,H$4,'Daily entry'!$B$2:$B$3001,$A29)&gt;0,"✓","✗")</f>
        <v>✗</v>
      </c>
      <c r="I29" s="5" t="str">
        <f ca="1">IF(COUNTIFS('Daily entry'!$A$2:$A$3001,I$4,'Daily entry'!$B$2:$B$3001,$A29)&gt;0,"✓","✗")</f>
        <v>✗</v>
      </c>
      <c r="J29" s="5" t="str">
        <f ca="1">IF(COUNTIFS('Daily entry'!$A$2:$A$3001,J$4,'Daily entry'!$B$2:$B$3001,$A29)&gt;0,"✓","✗")</f>
        <v>✗</v>
      </c>
      <c r="K29" s="5" t="str">
        <f ca="1">IF(COUNTIFS('Daily entry'!$A$2:$A$3001,K$4,'Daily entry'!$B$2:$B$3001,$A29)&gt;0,"✓","✗")</f>
        <v>✗</v>
      </c>
      <c r="L29" s="5" t="str">
        <f ca="1">IF(COUNTIFS('Daily entry'!$A$2:$A$3001,L$4,'Daily entry'!$B$2:$B$3001,$A29)&gt;0,"✓","✗")</f>
        <v>✗</v>
      </c>
      <c r="M29" s="5" t="str">
        <f ca="1">IF(COUNTIFS('Daily entry'!$A$2:$A$3001,M$4,'Daily entry'!$B$2:$B$3001,$A29)&gt;0,"✓","✗")</f>
        <v>✗</v>
      </c>
      <c r="N29" s="5" t="str">
        <f ca="1">IF(COUNTIFS('Daily entry'!$A$2:$A$3001,N$4,'Daily entry'!$B$2:$B$3001,$A29)&gt;0,"✓","✗")</f>
        <v>✗</v>
      </c>
      <c r="O29" s="5" t="str">
        <f ca="1">IF(COUNTIFS('Daily entry'!$A$2:$A$3001,O$4,'Daily entry'!$B$2:$B$3001,$A29)&gt;0,"✓","✗")</f>
        <v>✗</v>
      </c>
      <c r="P29" s="5" t="str">
        <f ca="1">IF(COUNTIFS('Daily entry'!$A$2:$A$3001,P$4,'Daily entry'!$B$2:$B$3001,$A29)&gt;0,"✓","✗")</f>
        <v>✗</v>
      </c>
      <c r="Q29" s="5" t="str">
        <f ca="1">IF(COUNTIFS('Daily entry'!$A$2:$A$3001,Q$4,'Daily entry'!$B$2:$B$3001,$A29)&gt;0,"✓","✗")</f>
        <v>✗</v>
      </c>
    </row>
    <row r="30" spans="1:17" ht="15.75">
      <c r="A30" s="17" t="s">
        <v>62</v>
      </c>
      <c r="B30" s="4">
        <f t="shared" ca="1" si="0"/>
        <v>0</v>
      </c>
      <c r="C30" s="4" t="str">
        <f>IF(COUNTIF('Daily entry'!$B$2:$B$3001,$A35)=0,"Never",_xlfn.MAXIFS('Daily entry'!$A$2:$A$3001,'Daily entry'!$B$2:$B$3001,$A35))</f>
        <v>Never</v>
      </c>
      <c r="D30" s="5" t="str">
        <f ca="1">IF(COUNTIFS('Daily entry'!$A$2:$A$3001,D$4,'Daily entry'!$B$2:$B$3001,$A30)&gt;0,"✓","✗")</f>
        <v>✗</v>
      </c>
      <c r="E30" s="5" t="str">
        <f ca="1">IF(COUNTIFS('Daily entry'!$A$2:$A$3001,E$4,'Daily entry'!$B$2:$B$3001,$A30)&gt;0,"✓","✗")</f>
        <v>✗</v>
      </c>
      <c r="F30" s="5" t="str">
        <f ca="1">IF(COUNTIFS('Daily entry'!$A$2:$A$3001,F$4,'Daily entry'!$B$2:$B$3001,$A30)&gt;0,"✓","✗")</f>
        <v>✗</v>
      </c>
      <c r="G30" s="5" t="str">
        <f ca="1">IF(COUNTIFS('Daily entry'!$A$2:$A$3001,G$4,'Daily entry'!$B$2:$B$3001,$A30)&gt;0,"✓","✗")</f>
        <v>✗</v>
      </c>
      <c r="H30" s="5" t="str">
        <f ca="1">IF(COUNTIFS('Daily entry'!$A$2:$A$3001,H$4,'Daily entry'!$B$2:$B$3001,$A30)&gt;0,"✓","✗")</f>
        <v>✗</v>
      </c>
      <c r="I30" s="5" t="str">
        <f ca="1">IF(COUNTIFS('Daily entry'!$A$2:$A$3001,I$4,'Daily entry'!$B$2:$B$3001,$A30)&gt;0,"✓","✗")</f>
        <v>✗</v>
      </c>
      <c r="J30" s="5" t="str">
        <f ca="1">IF(COUNTIFS('Daily entry'!$A$2:$A$3001,J$4,'Daily entry'!$B$2:$B$3001,$A30)&gt;0,"✓","✗")</f>
        <v>✗</v>
      </c>
      <c r="K30" s="5" t="str">
        <f ca="1">IF(COUNTIFS('Daily entry'!$A$2:$A$3001,K$4,'Daily entry'!$B$2:$B$3001,$A30)&gt;0,"✓","✗")</f>
        <v>✗</v>
      </c>
      <c r="L30" s="5" t="str">
        <f ca="1">IF(COUNTIFS('Daily entry'!$A$2:$A$3001,L$4,'Daily entry'!$B$2:$B$3001,$A30)&gt;0,"✓","✗")</f>
        <v>✗</v>
      </c>
      <c r="M30" s="5" t="str">
        <f ca="1">IF(COUNTIFS('Daily entry'!$A$2:$A$3001,M$4,'Daily entry'!$B$2:$B$3001,$A30)&gt;0,"✓","✗")</f>
        <v>✗</v>
      </c>
      <c r="N30" s="5" t="str">
        <f ca="1">IF(COUNTIFS('Daily entry'!$A$2:$A$3001,N$4,'Daily entry'!$B$2:$B$3001,$A30)&gt;0,"✓","✗")</f>
        <v>✗</v>
      </c>
      <c r="O30" s="5" t="str">
        <f ca="1">IF(COUNTIFS('Daily entry'!$A$2:$A$3001,O$4,'Daily entry'!$B$2:$B$3001,$A30)&gt;0,"✓","✗")</f>
        <v>✗</v>
      </c>
      <c r="P30" s="5" t="str">
        <f ca="1">IF(COUNTIFS('Daily entry'!$A$2:$A$3001,P$4,'Daily entry'!$B$2:$B$3001,$A30)&gt;0,"✓","✗")</f>
        <v>✗</v>
      </c>
      <c r="Q30" s="5" t="str">
        <f ca="1">IF(COUNTIFS('Daily entry'!$A$2:$A$3001,Q$4,'Daily entry'!$B$2:$B$3001,$A30)&gt;0,"✓","✗")</f>
        <v>✗</v>
      </c>
    </row>
    <row r="31" spans="1:17" ht="15.75">
      <c r="A31" s="17" t="s">
        <v>63</v>
      </c>
      <c r="B31" s="4">
        <f t="shared" ca="1" si="0"/>
        <v>0</v>
      </c>
      <c r="C31" s="4" t="str">
        <f>IF(COUNTIF('Daily entry'!$B$2:$B$3001,$A36)=0,"Never",_xlfn.MAXIFS('Daily entry'!$A$2:$A$3001,'Daily entry'!$B$2:$B$3001,$A36))</f>
        <v>Never</v>
      </c>
      <c r="D31" s="5" t="str">
        <f ca="1">IF(COUNTIFS('Daily entry'!$A$2:$A$3001,D$4,'Daily entry'!$B$2:$B$3001,$A31)&gt;0,"✓","✗")</f>
        <v>✗</v>
      </c>
      <c r="E31" s="5" t="str">
        <f ca="1">IF(COUNTIFS('Daily entry'!$A$2:$A$3001,E$4,'Daily entry'!$B$2:$B$3001,$A31)&gt;0,"✓","✗")</f>
        <v>✗</v>
      </c>
      <c r="F31" s="5" t="str">
        <f ca="1">IF(COUNTIFS('Daily entry'!$A$2:$A$3001,F$4,'Daily entry'!$B$2:$B$3001,$A31)&gt;0,"✓","✗")</f>
        <v>✗</v>
      </c>
      <c r="G31" s="5" t="str">
        <f ca="1">IF(COUNTIFS('Daily entry'!$A$2:$A$3001,G$4,'Daily entry'!$B$2:$B$3001,$A31)&gt;0,"✓","✗")</f>
        <v>✗</v>
      </c>
      <c r="H31" s="5" t="str">
        <f ca="1">IF(COUNTIFS('Daily entry'!$A$2:$A$3001,H$4,'Daily entry'!$B$2:$B$3001,$A31)&gt;0,"✓","✗")</f>
        <v>✗</v>
      </c>
      <c r="I31" s="5" t="str">
        <f ca="1">IF(COUNTIFS('Daily entry'!$A$2:$A$3001,I$4,'Daily entry'!$B$2:$B$3001,$A31)&gt;0,"✓","✗")</f>
        <v>✗</v>
      </c>
      <c r="J31" s="5" t="str">
        <f ca="1">IF(COUNTIFS('Daily entry'!$A$2:$A$3001,J$4,'Daily entry'!$B$2:$B$3001,$A31)&gt;0,"✓","✗")</f>
        <v>✗</v>
      </c>
      <c r="K31" s="5" t="str">
        <f ca="1">IF(COUNTIFS('Daily entry'!$A$2:$A$3001,K$4,'Daily entry'!$B$2:$B$3001,$A31)&gt;0,"✓","✗")</f>
        <v>✗</v>
      </c>
      <c r="L31" s="5" t="str">
        <f ca="1">IF(COUNTIFS('Daily entry'!$A$2:$A$3001,L$4,'Daily entry'!$B$2:$B$3001,$A31)&gt;0,"✓","✗")</f>
        <v>✗</v>
      </c>
      <c r="M31" s="5" t="str">
        <f ca="1">IF(COUNTIFS('Daily entry'!$A$2:$A$3001,M$4,'Daily entry'!$B$2:$B$3001,$A31)&gt;0,"✓","✗")</f>
        <v>✗</v>
      </c>
      <c r="N31" s="5" t="str">
        <f ca="1">IF(COUNTIFS('Daily entry'!$A$2:$A$3001,N$4,'Daily entry'!$B$2:$B$3001,$A31)&gt;0,"✓","✗")</f>
        <v>✗</v>
      </c>
      <c r="O31" s="5" t="str">
        <f ca="1">IF(COUNTIFS('Daily entry'!$A$2:$A$3001,O$4,'Daily entry'!$B$2:$B$3001,$A31)&gt;0,"✓","✗")</f>
        <v>✗</v>
      </c>
      <c r="P31" s="5" t="str">
        <f ca="1">IF(COUNTIFS('Daily entry'!$A$2:$A$3001,P$4,'Daily entry'!$B$2:$B$3001,$A31)&gt;0,"✓","✗")</f>
        <v>✗</v>
      </c>
      <c r="Q31" s="5" t="str">
        <f ca="1">IF(COUNTIFS('Daily entry'!$A$2:$A$3001,Q$4,'Daily entry'!$B$2:$B$3001,$A31)&gt;0,"✓","✗")</f>
        <v>✗</v>
      </c>
    </row>
    <row r="32" spans="1:17" ht="15.75">
      <c r="A32" s="17" t="s">
        <v>64</v>
      </c>
      <c r="B32" s="4">
        <f t="shared" ca="1" si="0"/>
        <v>0</v>
      </c>
      <c r="C32" s="4" t="str">
        <f>IF(COUNTIF('Daily entry'!$B$2:$B$3001,$A37)=0,"Never",_xlfn.MAXIFS('Daily entry'!$A$2:$A$3001,'Daily entry'!$B$2:$B$3001,$A37))</f>
        <v>Never</v>
      </c>
      <c r="D32" s="5" t="str">
        <f ca="1">IF(COUNTIFS('Daily entry'!$A$2:$A$3001,D$4,'Daily entry'!$B$2:$B$3001,$A32)&gt;0,"✓","✗")</f>
        <v>✗</v>
      </c>
      <c r="E32" s="5" t="str">
        <f ca="1">IF(COUNTIFS('Daily entry'!$A$2:$A$3001,E$4,'Daily entry'!$B$2:$B$3001,$A32)&gt;0,"✓","✗")</f>
        <v>✗</v>
      </c>
      <c r="F32" s="5" t="str">
        <f ca="1">IF(COUNTIFS('Daily entry'!$A$2:$A$3001,F$4,'Daily entry'!$B$2:$B$3001,$A32)&gt;0,"✓","✗")</f>
        <v>✗</v>
      </c>
      <c r="G32" s="5" t="str">
        <f ca="1">IF(COUNTIFS('Daily entry'!$A$2:$A$3001,G$4,'Daily entry'!$B$2:$B$3001,$A32)&gt;0,"✓","✗")</f>
        <v>✗</v>
      </c>
      <c r="H32" s="5" t="str">
        <f ca="1">IF(COUNTIFS('Daily entry'!$A$2:$A$3001,H$4,'Daily entry'!$B$2:$B$3001,$A32)&gt;0,"✓","✗")</f>
        <v>✗</v>
      </c>
      <c r="I32" s="5" t="str">
        <f ca="1">IF(COUNTIFS('Daily entry'!$A$2:$A$3001,I$4,'Daily entry'!$B$2:$B$3001,$A32)&gt;0,"✓","✗")</f>
        <v>✗</v>
      </c>
      <c r="J32" s="5" t="str">
        <f ca="1">IF(COUNTIFS('Daily entry'!$A$2:$A$3001,J$4,'Daily entry'!$B$2:$B$3001,$A32)&gt;0,"✓","✗")</f>
        <v>✗</v>
      </c>
      <c r="K32" s="5" t="str">
        <f ca="1">IF(COUNTIFS('Daily entry'!$A$2:$A$3001,K$4,'Daily entry'!$B$2:$B$3001,$A32)&gt;0,"✓","✗")</f>
        <v>✗</v>
      </c>
      <c r="L32" s="5" t="str">
        <f ca="1">IF(COUNTIFS('Daily entry'!$A$2:$A$3001,L$4,'Daily entry'!$B$2:$B$3001,$A32)&gt;0,"✓","✗")</f>
        <v>✗</v>
      </c>
      <c r="M32" s="5" t="str">
        <f ca="1">IF(COUNTIFS('Daily entry'!$A$2:$A$3001,M$4,'Daily entry'!$B$2:$B$3001,$A32)&gt;0,"✓","✗")</f>
        <v>✗</v>
      </c>
      <c r="N32" s="5" t="str">
        <f ca="1">IF(COUNTIFS('Daily entry'!$A$2:$A$3001,N$4,'Daily entry'!$B$2:$B$3001,$A32)&gt;0,"✓","✗")</f>
        <v>✗</v>
      </c>
      <c r="O32" s="5" t="str">
        <f ca="1">IF(COUNTIFS('Daily entry'!$A$2:$A$3001,O$4,'Daily entry'!$B$2:$B$3001,$A32)&gt;0,"✓","✗")</f>
        <v>✗</v>
      </c>
      <c r="P32" s="5" t="str">
        <f ca="1">IF(COUNTIFS('Daily entry'!$A$2:$A$3001,P$4,'Daily entry'!$B$2:$B$3001,$A32)&gt;0,"✓","✗")</f>
        <v>✗</v>
      </c>
      <c r="Q32" s="5" t="str">
        <f ca="1">IF(COUNTIFS('Daily entry'!$A$2:$A$3001,Q$4,'Daily entry'!$B$2:$B$3001,$A32)&gt;0,"✓","✗")</f>
        <v>✗</v>
      </c>
    </row>
    <row r="33" spans="1:17" ht="15.75">
      <c r="A33" s="17" t="s">
        <v>66</v>
      </c>
      <c r="B33" s="4">
        <f t="shared" ca="1" si="0"/>
        <v>0</v>
      </c>
      <c r="C33" s="4" t="str">
        <f>IF(COUNTIF('Daily entry'!$B$2:$B$3001,$A38)=0,"Never",_xlfn.MAXIFS('Daily entry'!$A$2:$A$3001,'Daily entry'!$B$2:$B$3001,$A38))</f>
        <v>Never</v>
      </c>
      <c r="D33" s="5" t="str">
        <f ca="1">IF(COUNTIFS('Daily entry'!$A$2:$A$3001,D$4,'Daily entry'!$B$2:$B$3001,$A33)&gt;0,"✓","✗")</f>
        <v>✗</v>
      </c>
      <c r="E33" s="5" t="str">
        <f ca="1">IF(COUNTIFS('Daily entry'!$A$2:$A$3001,E$4,'Daily entry'!$B$2:$B$3001,$A33)&gt;0,"✓","✗")</f>
        <v>✗</v>
      </c>
      <c r="F33" s="5" t="str">
        <f ca="1">IF(COUNTIFS('Daily entry'!$A$2:$A$3001,F$4,'Daily entry'!$B$2:$B$3001,$A33)&gt;0,"✓","✗")</f>
        <v>✗</v>
      </c>
      <c r="G33" s="5" t="str">
        <f ca="1">IF(COUNTIFS('Daily entry'!$A$2:$A$3001,G$4,'Daily entry'!$B$2:$B$3001,$A33)&gt;0,"✓","✗")</f>
        <v>✗</v>
      </c>
      <c r="H33" s="5" t="str">
        <f ca="1">IF(COUNTIFS('Daily entry'!$A$2:$A$3001,H$4,'Daily entry'!$B$2:$B$3001,$A33)&gt;0,"✓","✗")</f>
        <v>✗</v>
      </c>
      <c r="I33" s="5" t="str">
        <f ca="1">IF(COUNTIFS('Daily entry'!$A$2:$A$3001,I$4,'Daily entry'!$B$2:$B$3001,$A33)&gt;0,"✓","✗")</f>
        <v>✗</v>
      </c>
      <c r="J33" s="5" t="str">
        <f ca="1">IF(COUNTIFS('Daily entry'!$A$2:$A$3001,J$4,'Daily entry'!$B$2:$B$3001,$A33)&gt;0,"✓","✗")</f>
        <v>✗</v>
      </c>
      <c r="K33" s="5" t="str">
        <f ca="1">IF(COUNTIFS('Daily entry'!$A$2:$A$3001,K$4,'Daily entry'!$B$2:$B$3001,$A33)&gt;0,"✓","✗")</f>
        <v>✗</v>
      </c>
      <c r="L33" s="5" t="str">
        <f ca="1">IF(COUNTIFS('Daily entry'!$A$2:$A$3001,L$4,'Daily entry'!$B$2:$B$3001,$A33)&gt;0,"✓","✗")</f>
        <v>✗</v>
      </c>
      <c r="M33" s="5" t="str">
        <f ca="1">IF(COUNTIFS('Daily entry'!$A$2:$A$3001,M$4,'Daily entry'!$B$2:$B$3001,$A33)&gt;0,"✓","✗")</f>
        <v>✗</v>
      </c>
      <c r="N33" s="5" t="str">
        <f ca="1">IF(COUNTIFS('Daily entry'!$A$2:$A$3001,N$4,'Daily entry'!$B$2:$B$3001,$A33)&gt;0,"✓","✗")</f>
        <v>✗</v>
      </c>
      <c r="O33" s="5" t="str">
        <f ca="1">IF(COUNTIFS('Daily entry'!$A$2:$A$3001,O$4,'Daily entry'!$B$2:$B$3001,$A33)&gt;0,"✓","✗")</f>
        <v>✗</v>
      </c>
      <c r="P33" s="5" t="str">
        <f ca="1">IF(COUNTIFS('Daily entry'!$A$2:$A$3001,P$4,'Daily entry'!$B$2:$B$3001,$A33)&gt;0,"✓","✗")</f>
        <v>✗</v>
      </c>
      <c r="Q33" s="5" t="str">
        <f ca="1">IF(COUNTIFS('Daily entry'!$A$2:$A$3001,Q$4,'Daily entry'!$B$2:$B$3001,$A33)&gt;0,"✓","✗")</f>
        <v>✗</v>
      </c>
    </row>
    <row r="34" spans="1:17" ht="15.75">
      <c r="A34" s="17" t="s">
        <v>67</v>
      </c>
      <c r="B34" s="4">
        <f t="shared" ca="1" si="0"/>
        <v>0</v>
      </c>
      <c r="C34" s="4" t="str">
        <f>IF(COUNTIF('Daily entry'!$B$2:$B$3001,$A39)=0,"Never",_xlfn.MAXIFS('Daily entry'!$A$2:$A$3001,'Daily entry'!$B$2:$B$3001,$A39))</f>
        <v>Never</v>
      </c>
      <c r="D34" s="5" t="str">
        <f ca="1">IF(COUNTIFS('Daily entry'!$A$2:$A$3001,D$4,'Daily entry'!$B$2:$B$3001,$A34)&gt;0,"✓","✗")</f>
        <v>✗</v>
      </c>
      <c r="E34" s="5" t="str">
        <f ca="1">IF(COUNTIFS('Daily entry'!$A$2:$A$3001,E$4,'Daily entry'!$B$2:$B$3001,$A34)&gt;0,"✓","✗")</f>
        <v>✗</v>
      </c>
      <c r="F34" s="5" t="str">
        <f ca="1">IF(COUNTIFS('Daily entry'!$A$2:$A$3001,F$4,'Daily entry'!$B$2:$B$3001,$A34)&gt;0,"✓","✗")</f>
        <v>✗</v>
      </c>
      <c r="G34" s="5" t="str">
        <f ca="1">IF(COUNTIFS('Daily entry'!$A$2:$A$3001,G$4,'Daily entry'!$B$2:$B$3001,$A34)&gt;0,"✓","✗")</f>
        <v>✗</v>
      </c>
      <c r="H34" s="5" t="str">
        <f ca="1">IF(COUNTIFS('Daily entry'!$A$2:$A$3001,H$4,'Daily entry'!$B$2:$B$3001,$A34)&gt;0,"✓","✗")</f>
        <v>✗</v>
      </c>
      <c r="I34" s="5" t="str">
        <f ca="1">IF(COUNTIFS('Daily entry'!$A$2:$A$3001,I$4,'Daily entry'!$B$2:$B$3001,$A34)&gt;0,"✓","✗")</f>
        <v>✗</v>
      </c>
      <c r="J34" s="5" t="str">
        <f ca="1">IF(COUNTIFS('Daily entry'!$A$2:$A$3001,J$4,'Daily entry'!$B$2:$B$3001,$A34)&gt;0,"✓","✗")</f>
        <v>✗</v>
      </c>
      <c r="K34" s="5" t="str">
        <f ca="1">IF(COUNTIFS('Daily entry'!$A$2:$A$3001,K$4,'Daily entry'!$B$2:$B$3001,$A34)&gt;0,"✓","✗")</f>
        <v>✗</v>
      </c>
      <c r="L34" s="5" t="str">
        <f ca="1">IF(COUNTIFS('Daily entry'!$A$2:$A$3001,L$4,'Daily entry'!$B$2:$B$3001,$A34)&gt;0,"✓","✗")</f>
        <v>✗</v>
      </c>
      <c r="M34" s="5" t="str">
        <f ca="1">IF(COUNTIFS('Daily entry'!$A$2:$A$3001,M$4,'Daily entry'!$B$2:$B$3001,$A34)&gt;0,"✓","✗")</f>
        <v>✗</v>
      </c>
      <c r="N34" s="5" t="str">
        <f ca="1">IF(COUNTIFS('Daily entry'!$A$2:$A$3001,N$4,'Daily entry'!$B$2:$B$3001,$A34)&gt;0,"✓","✗")</f>
        <v>✗</v>
      </c>
      <c r="O34" s="5" t="str">
        <f ca="1">IF(COUNTIFS('Daily entry'!$A$2:$A$3001,O$4,'Daily entry'!$B$2:$B$3001,$A34)&gt;0,"✓","✗")</f>
        <v>✗</v>
      </c>
      <c r="P34" s="5" t="str">
        <f ca="1">IF(COUNTIFS('Daily entry'!$A$2:$A$3001,P$4,'Daily entry'!$B$2:$B$3001,$A34)&gt;0,"✓","✗")</f>
        <v>✗</v>
      </c>
      <c r="Q34" s="5" t="str">
        <f ca="1">IF(COUNTIFS('Daily entry'!$A$2:$A$3001,Q$4,'Daily entry'!$B$2:$B$3001,$A34)&gt;0,"✓","✗")</f>
        <v>✗</v>
      </c>
    </row>
    <row r="35" spans="1:17" ht="15.75">
      <c r="A35" s="17" t="s">
        <v>68</v>
      </c>
      <c r="B35" s="4">
        <f t="shared" ca="1" si="0"/>
        <v>0</v>
      </c>
      <c r="C35" s="4" t="str">
        <f>IF(COUNTIF('Daily entry'!$B$2:$B$3001,$A40)=0,"Never",_xlfn.MAXIFS('Daily entry'!$A$2:$A$3001,'Daily entry'!$B$2:$B$3001,$A40))</f>
        <v>Never</v>
      </c>
      <c r="D35" s="5" t="str">
        <f ca="1">IF(COUNTIFS('Daily entry'!$A$2:$A$3001,D$4,'Daily entry'!$B$2:$B$3001,$A35)&gt;0,"✓","✗")</f>
        <v>✗</v>
      </c>
      <c r="E35" s="5" t="str">
        <f ca="1">IF(COUNTIFS('Daily entry'!$A$2:$A$3001,E$4,'Daily entry'!$B$2:$B$3001,$A35)&gt;0,"✓","✗")</f>
        <v>✗</v>
      </c>
      <c r="F35" s="5" t="str">
        <f ca="1">IF(COUNTIFS('Daily entry'!$A$2:$A$3001,F$4,'Daily entry'!$B$2:$B$3001,$A35)&gt;0,"✓","✗")</f>
        <v>✗</v>
      </c>
      <c r="G35" s="5" t="str">
        <f ca="1">IF(COUNTIFS('Daily entry'!$A$2:$A$3001,G$4,'Daily entry'!$B$2:$B$3001,$A35)&gt;0,"✓","✗")</f>
        <v>✗</v>
      </c>
      <c r="H35" s="5" t="str">
        <f ca="1">IF(COUNTIFS('Daily entry'!$A$2:$A$3001,H$4,'Daily entry'!$B$2:$B$3001,$A35)&gt;0,"✓","✗")</f>
        <v>✗</v>
      </c>
      <c r="I35" s="5" t="str">
        <f ca="1">IF(COUNTIFS('Daily entry'!$A$2:$A$3001,I$4,'Daily entry'!$B$2:$B$3001,$A35)&gt;0,"✓","✗")</f>
        <v>✗</v>
      </c>
      <c r="J35" s="5" t="str">
        <f ca="1">IF(COUNTIFS('Daily entry'!$A$2:$A$3001,J$4,'Daily entry'!$B$2:$B$3001,$A35)&gt;0,"✓","✗")</f>
        <v>✗</v>
      </c>
      <c r="K35" s="5" t="str">
        <f ca="1">IF(COUNTIFS('Daily entry'!$A$2:$A$3001,K$4,'Daily entry'!$B$2:$B$3001,$A35)&gt;0,"✓","✗")</f>
        <v>✗</v>
      </c>
      <c r="L35" s="5" t="str">
        <f ca="1">IF(COUNTIFS('Daily entry'!$A$2:$A$3001,L$4,'Daily entry'!$B$2:$B$3001,$A35)&gt;0,"✓","✗")</f>
        <v>✗</v>
      </c>
      <c r="M35" s="5" t="str">
        <f ca="1">IF(COUNTIFS('Daily entry'!$A$2:$A$3001,M$4,'Daily entry'!$B$2:$B$3001,$A35)&gt;0,"✓","✗")</f>
        <v>✗</v>
      </c>
      <c r="N35" s="5" t="str">
        <f ca="1">IF(COUNTIFS('Daily entry'!$A$2:$A$3001,N$4,'Daily entry'!$B$2:$B$3001,$A35)&gt;0,"✓","✗")</f>
        <v>✗</v>
      </c>
      <c r="O35" s="5" t="str">
        <f ca="1">IF(COUNTIFS('Daily entry'!$A$2:$A$3001,O$4,'Daily entry'!$B$2:$B$3001,$A35)&gt;0,"✓","✗")</f>
        <v>✗</v>
      </c>
      <c r="P35" s="5" t="str">
        <f ca="1">IF(COUNTIFS('Daily entry'!$A$2:$A$3001,P$4,'Daily entry'!$B$2:$B$3001,$A35)&gt;0,"✓","✗")</f>
        <v>✗</v>
      </c>
      <c r="Q35" s="5" t="str">
        <f ca="1">IF(COUNTIFS('Daily entry'!$A$2:$A$3001,Q$4,'Daily entry'!$B$2:$B$3001,$A35)&gt;0,"✓","✗")</f>
        <v>✗</v>
      </c>
    </row>
    <row r="36" spans="1:17" ht="15.75">
      <c r="A36" s="17" t="s">
        <v>71</v>
      </c>
      <c r="B36" s="4">
        <f t="shared" ca="1" si="0"/>
        <v>0</v>
      </c>
      <c r="C36" s="4" t="str">
        <f>IF(COUNTIF('Daily entry'!$B$2:$B$3001,$A41)=0,"Never",_xlfn.MAXIFS('Daily entry'!$A$2:$A$3001,'Daily entry'!$B$2:$B$3001,$A41))</f>
        <v>Never</v>
      </c>
      <c r="D36" s="5" t="str">
        <f ca="1">IF(COUNTIFS('Daily entry'!$A$2:$A$3001,D$4,'Daily entry'!$B$2:$B$3001,$A36)&gt;0,"✓","✗")</f>
        <v>✗</v>
      </c>
      <c r="E36" s="5" t="str">
        <f ca="1">IF(COUNTIFS('Daily entry'!$A$2:$A$3001,E$4,'Daily entry'!$B$2:$B$3001,$A36)&gt;0,"✓","✗")</f>
        <v>✗</v>
      </c>
      <c r="F36" s="5" t="str">
        <f ca="1">IF(COUNTIFS('Daily entry'!$A$2:$A$3001,F$4,'Daily entry'!$B$2:$B$3001,$A36)&gt;0,"✓","✗")</f>
        <v>✗</v>
      </c>
      <c r="G36" s="5" t="str">
        <f ca="1">IF(COUNTIFS('Daily entry'!$A$2:$A$3001,G$4,'Daily entry'!$B$2:$B$3001,$A36)&gt;0,"✓","✗")</f>
        <v>✗</v>
      </c>
      <c r="H36" s="5" t="str">
        <f ca="1">IF(COUNTIFS('Daily entry'!$A$2:$A$3001,H$4,'Daily entry'!$B$2:$B$3001,$A36)&gt;0,"✓","✗")</f>
        <v>✗</v>
      </c>
      <c r="I36" s="5" t="str">
        <f ca="1">IF(COUNTIFS('Daily entry'!$A$2:$A$3001,I$4,'Daily entry'!$B$2:$B$3001,$A36)&gt;0,"✓","✗")</f>
        <v>✗</v>
      </c>
      <c r="J36" s="5" t="str">
        <f ca="1">IF(COUNTIFS('Daily entry'!$A$2:$A$3001,J$4,'Daily entry'!$B$2:$B$3001,$A36)&gt;0,"✓","✗")</f>
        <v>✗</v>
      </c>
      <c r="K36" s="5" t="str">
        <f ca="1">IF(COUNTIFS('Daily entry'!$A$2:$A$3001,K$4,'Daily entry'!$B$2:$B$3001,$A36)&gt;0,"✓","✗")</f>
        <v>✗</v>
      </c>
      <c r="L36" s="5" t="str">
        <f ca="1">IF(COUNTIFS('Daily entry'!$A$2:$A$3001,L$4,'Daily entry'!$B$2:$B$3001,$A36)&gt;0,"✓","✗")</f>
        <v>✗</v>
      </c>
      <c r="M36" s="5" t="str">
        <f ca="1">IF(COUNTIFS('Daily entry'!$A$2:$A$3001,M$4,'Daily entry'!$B$2:$B$3001,$A36)&gt;0,"✓","✗")</f>
        <v>✗</v>
      </c>
      <c r="N36" s="5" t="str">
        <f ca="1">IF(COUNTIFS('Daily entry'!$A$2:$A$3001,N$4,'Daily entry'!$B$2:$B$3001,$A36)&gt;0,"✓","✗")</f>
        <v>✗</v>
      </c>
      <c r="O36" s="5" t="str">
        <f ca="1">IF(COUNTIFS('Daily entry'!$A$2:$A$3001,O$4,'Daily entry'!$B$2:$B$3001,$A36)&gt;0,"✓","✗")</f>
        <v>✗</v>
      </c>
      <c r="P36" s="5" t="str">
        <f ca="1">IF(COUNTIFS('Daily entry'!$A$2:$A$3001,P$4,'Daily entry'!$B$2:$B$3001,$A36)&gt;0,"✓","✗")</f>
        <v>✗</v>
      </c>
      <c r="Q36" s="5" t="str">
        <f ca="1">IF(COUNTIFS('Daily entry'!$A$2:$A$3001,Q$4,'Daily entry'!$B$2:$B$3001,$A36)&gt;0,"✓","✗")</f>
        <v>✗</v>
      </c>
    </row>
    <row r="37" spans="1:17" ht="15.75">
      <c r="A37" s="17" t="s">
        <v>74</v>
      </c>
      <c r="B37" s="4">
        <f t="shared" ca="1" si="0"/>
        <v>0</v>
      </c>
      <c r="C37" s="4" t="str">
        <f>IF(COUNTIF('Daily entry'!$B$2:$B$3001,$A42)=0,"Never",_xlfn.MAXIFS('Daily entry'!$A$2:$A$3001,'Daily entry'!$B$2:$B$3001,$A42))</f>
        <v>Never</v>
      </c>
      <c r="D37" s="5" t="str">
        <f ca="1">IF(COUNTIFS('Daily entry'!$A$2:$A$3001,D$4,'Daily entry'!$B$2:$B$3001,$A37)&gt;0,"✓","✗")</f>
        <v>✗</v>
      </c>
      <c r="E37" s="5" t="str">
        <f ca="1">IF(COUNTIFS('Daily entry'!$A$2:$A$3001,E$4,'Daily entry'!$B$2:$B$3001,$A37)&gt;0,"✓","✗")</f>
        <v>✗</v>
      </c>
      <c r="F37" s="5" t="str">
        <f ca="1">IF(COUNTIFS('Daily entry'!$A$2:$A$3001,F$4,'Daily entry'!$B$2:$B$3001,$A37)&gt;0,"✓","✗")</f>
        <v>✗</v>
      </c>
      <c r="G37" s="5" t="str">
        <f ca="1">IF(COUNTIFS('Daily entry'!$A$2:$A$3001,G$4,'Daily entry'!$B$2:$B$3001,$A37)&gt;0,"✓","✗")</f>
        <v>✗</v>
      </c>
      <c r="H37" s="5" t="str">
        <f ca="1">IF(COUNTIFS('Daily entry'!$A$2:$A$3001,H$4,'Daily entry'!$B$2:$B$3001,$A37)&gt;0,"✓","✗")</f>
        <v>✗</v>
      </c>
      <c r="I37" s="5" t="str">
        <f ca="1">IF(COUNTIFS('Daily entry'!$A$2:$A$3001,I$4,'Daily entry'!$B$2:$B$3001,$A37)&gt;0,"✓","✗")</f>
        <v>✗</v>
      </c>
      <c r="J37" s="5" t="str">
        <f ca="1">IF(COUNTIFS('Daily entry'!$A$2:$A$3001,J$4,'Daily entry'!$B$2:$B$3001,$A37)&gt;0,"✓","✗")</f>
        <v>✗</v>
      </c>
      <c r="K37" s="5" t="str">
        <f ca="1">IF(COUNTIFS('Daily entry'!$A$2:$A$3001,K$4,'Daily entry'!$B$2:$B$3001,$A37)&gt;0,"✓","✗")</f>
        <v>✗</v>
      </c>
      <c r="L37" s="5" t="str">
        <f ca="1">IF(COUNTIFS('Daily entry'!$A$2:$A$3001,L$4,'Daily entry'!$B$2:$B$3001,$A37)&gt;0,"✓","✗")</f>
        <v>✗</v>
      </c>
      <c r="M37" s="5" t="str">
        <f ca="1">IF(COUNTIFS('Daily entry'!$A$2:$A$3001,M$4,'Daily entry'!$B$2:$B$3001,$A37)&gt;0,"✓","✗")</f>
        <v>✗</v>
      </c>
      <c r="N37" s="5" t="str">
        <f ca="1">IF(COUNTIFS('Daily entry'!$A$2:$A$3001,N$4,'Daily entry'!$B$2:$B$3001,$A37)&gt;0,"✓","✗")</f>
        <v>✗</v>
      </c>
      <c r="O37" s="5" t="str">
        <f ca="1">IF(COUNTIFS('Daily entry'!$A$2:$A$3001,O$4,'Daily entry'!$B$2:$B$3001,$A37)&gt;0,"✓","✗")</f>
        <v>✗</v>
      </c>
      <c r="P37" s="5" t="str">
        <f ca="1">IF(COUNTIFS('Daily entry'!$A$2:$A$3001,P$4,'Daily entry'!$B$2:$B$3001,$A37)&gt;0,"✓","✗")</f>
        <v>✗</v>
      </c>
      <c r="Q37" s="5" t="str">
        <f ca="1">IF(COUNTIFS('Daily entry'!$A$2:$A$3001,Q$4,'Daily entry'!$B$2:$B$3001,$A37)&gt;0,"✓","✗")</f>
        <v>✗</v>
      </c>
    </row>
    <row r="38" spans="1:17" ht="15.75">
      <c r="A38" s="17" t="s">
        <v>76</v>
      </c>
      <c r="B38" s="4">
        <f t="shared" ca="1" si="0"/>
        <v>0</v>
      </c>
      <c r="C38" s="4" t="str">
        <f>IF(COUNTIF('Daily entry'!$B$2:$B$3001,$A43)=0,"Never",_xlfn.MAXIFS('Daily entry'!$A$2:$A$3001,'Daily entry'!$B$2:$B$3001,$A43))</f>
        <v>Never</v>
      </c>
      <c r="D38" s="5" t="str">
        <f ca="1">IF(COUNTIFS('Daily entry'!$A$2:$A$3001,D$4,'Daily entry'!$B$2:$B$3001,$A38)&gt;0,"✓","✗")</f>
        <v>✗</v>
      </c>
      <c r="E38" s="5" t="str">
        <f ca="1">IF(COUNTIFS('Daily entry'!$A$2:$A$3001,E$4,'Daily entry'!$B$2:$B$3001,$A38)&gt;0,"✓","✗")</f>
        <v>✗</v>
      </c>
      <c r="F38" s="5" t="str">
        <f ca="1">IF(COUNTIFS('Daily entry'!$A$2:$A$3001,F$4,'Daily entry'!$B$2:$B$3001,$A38)&gt;0,"✓","✗")</f>
        <v>✗</v>
      </c>
      <c r="G38" s="5" t="str">
        <f ca="1">IF(COUNTIFS('Daily entry'!$A$2:$A$3001,G$4,'Daily entry'!$B$2:$B$3001,$A38)&gt;0,"✓","✗")</f>
        <v>✗</v>
      </c>
      <c r="H38" s="5" t="str">
        <f ca="1">IF(COUNTIFS('Daily entry'!$A$2:$A$3001,H$4,'Daily entry'!$B$2:$B$3001,$A38)&gt;0,"✓","✗")</f>
        <v>✗</v>
      </c>
      <c r="I38" s="5" t="str">
        <f ca="1">IF(COUNTIFS('Daily entry'!$A$2:$A$3001,I$4,'Daily entry'!$B$2:$B$3001,$A38)&gt;0,"✓","✗")</f>
        <v>✗</v>
      </c>
      <c r="J38" s="5" t="str">
        <f ca="1">IF(COUNTIFS('Daily entry'!$A$2:$A$3001,J$4,'Daily entry'!$B$2:$B$3001,$A38)&gt;0,"✓","✗")</f>
        <v>✗</v>
      </c>
      <c r="K38" s="5" t="str">
        <f ca="1">IF(COUNTIFS('Daily entry'!$A$2:$A$3001,K$4,'Daily entry'!$B$2:$B$3001,$A38)&gt;0,"✓","✗")</f>
        <v>✗</v>
      </c>
      <c r="L38" s="5" t="str">
        <f ca="1">IF(COUNTIFS('Daily entry'!$A$2:$A$3001,L$4,'Daily entry'!$B$2:$B$3001,$A38)&gt;0,"✓","✗")</f>
        <v>✗</v>
      </c>
      <c r="M38" s="5" t="str">
        <f ca="1">IF(COUNTIFS('Daily entry'!$A$2:$A$3001,M$4,'Daily entry'!$B$2:$B$3001,$A38)&gt;0,"✓","✗")</f>
        <v>✗</v>
      </c>
      <c r="N38" s="5" t="str">
        <f ca="1">IF(COUNTIFS('Daily entry'!$A$2:$A$3001,N$4,'Daily entry'!$B$2:$B$3001,$A38)&gt;0,"✓","✗")</f>
        <v>✗</v>
      </c>
      <c r="O38" s="5" t="str">
        <f ca="1">IF(COUNTIFS('Daily entry'!$A$2:$A$3001,O$4,'Daily entry'!$B$2:$B$3001,$A38)&gt;0,"✓","✗")</f>
        <v>✗</v>
      </c>
      <c r="P38" s="5" t="str">
        <f ca="1">IF(COUNTIFS('Daily entry'!$A$2:$A$3001,P$4,'Daily entry'!$B$2:$B$3001,$A38)&gt;0,"✓","✗")</f>
        <v>✗</v>
      </c>
      <c r="Q38" s="5" t="str">
        <f ca="1">IF(COUNTIFS('Daily entry'!$A$2:$A$3001,Q$4,'Daily entry'!$B$2:$B$3001,$A38)&gt;0,"✓","✗")</f>
        <v>✗</v>
      </c>
    </row>
    <row r="39" spans="1:17" ht="15.75">
      <c r="A39" s="17" t="s">
        <v>77</v>
      </c>
      <c r="B39" s="4">
        <f t="shared" si="0"/>
        <v>0</v>
      </c>
      <c r="C39" s="4" t="str">
        <f>IF(COUNTIF('Daily entry'!$B$2:$B$3001,$A44)=0,"Never",_xlfn.MAXIFS('Daily entry'!$A$2:$A$3001,'Daily entry'!$B$2:$B$3001,$A44))</f>
        <v>Never</v>
      </c>
      <c r="D39" s="5" t="str">
        <f ca="1">IF(COUNTIFS('Daily entry'!$A$2:$A$3001,D$4,'Daily entry'!$B$2:$B$3001,$A39)&gt;0,"✓","✗")</f>
        <v>✗</v>
      </c>
      <c r="E39" s="5" t="str">
        <f ca="1">IF(COUNTIFS('Daily entry'!$A$2:$A$3001,E$4,'Daily entry'!$B$2:$B$3001,$A39)&gt;0,"✓","✗")</f>
        <v>✗</v>
      </c>
      <c r="F39" s="5" t="str">
        <f ca="1">IF(COUNTIFS('Daily entry'!$A$2:$A$3001,F$4,'Daily entry'!$B$2:$B$3001,$A39)&gt;0,"✓","✗")</f>
        <v>✗</v>
      </c>
      <c r="G39" s="5" t="str">
        <f ca="1">IF(COUNTIFS('Daily entry'!$A$2:$A$3001,G$4,'Daily entry'!$B$2:$B$3001,$A39)&gt;0,"✓","✗")</f>
        <v>✗</v>
      </c>
      <c r="H39" s="5" t="str">
        <f ca="1">IF(COUNTIFS('Daily entry'!$A$2:$A$3001,H$4,'Daily entry'!$B$2:$B$3001,$A39)&gt;0,"✓","✗")</f>
        <v>✗</v>
      </c>
      <c r="I39" s="5" t="str">
        <f ca="1">IF(COUNTIFS('Daily entry'!$A$2:$A$3001,I$4,'Daily entry'!$B$2:$B$3001,$A39)&gt;0,"✓","✗")</f>
        <v>✗</v>
      </c>
      <c r="J39" s="5" t="str">
        <f ca="1">IF(COUNTIFS('Daily entry'!$A$2:$A$3001,J$4,'Daily entry'!$B$2:$B$3001,$A39)&gt;0,"✓","✗")</f>
        <v>✗</v>
      </c>
      <c r="K39" s="5" t="str">
        <f ca="1">IF(COUNTIFS('Daily entry'!$A$2:$A$3001,K$4,'Daily entry'!$B$2:$B$3001,$A39)&gt;0,"✓","✗")</f>
        <v>✗</v>
      </c>
      <c r="L39" s="5" t="str">
        <f ca="1">IF(COUNTIFS('Daily entry'!$A$2:$A$3001,L$4,'Daily entry'!$B$2:$B$3001,$A39)&gt;0,"✓","✗")</f>
        <v>✗</v>
      </c>
      <c r="M39" s="5" t="str">
        <f ca="1">IF(COUNTIFS('Daily entry'!$A$2:$A$3001,M$4,'Daily entry'!$B$2:$B$3001,$A39)&gt;0,"✓","✗")</f>
        <v>✗</v>
      </c>
      <c r="N39" s="5" t="str">
        <f ca="1">IF(COUNTIFS('Daily entry'!$A$2:$A$3001,N$4,'Daily entry'!$B$2:$B$3001,$A39)&gt;0,"✓","✗")</f>
        <v>✗</v>
      </c>
      <c r="O39" s="5" t="str">
        <f ca="1">IF(COUNTIFS('Daily entry'!$A$2:$A$3001,O$4,'Daily entry'!$B$2:$B$3001,$A39)&gt;0,"✓","✗")</f>
        <v>✗</v>
      </c>
      <c r="P39" s="5" t="str">
        <f ca="1">IF(COUNTIFS('Daily entry'!$A$2:$A$3001,P$4,'Daily entry'!$B$2:$B$3001,$A39)&gt;0,"✓","✗")</f>
        <v>✗</v>
      </c>
      <c r="Q39" s="5" t="str">
        <f ca="1">IF(COUNTIFS('Daily entry'!$A$2:$A$3001,Q$4,'Daily entry'!$B$2:$B$3001,$A39)&gt;0,"✓","✗")</f>
        <v>✗</v>
      </c>
    </row>
    <row r="40" spans="1:17" ht="15.75">
      <c r="A40" s="17" t="s">
        <v>78</v>
      </c>
      <c r="B40" s="4">
        <f t="shared" si="0"/>
        <v>0</v>
      </c>
      <c r="C40" s="4" t="str">
        <f>IF(COUNTIF('Daily entry'!$B$2:$B$3001,$A45)=0,"Never",_xlfn.MAXIFS('Daily entry'!$A$2:$A$3001,'Daily entry'!$B$2:$B$3001,$A45))</f>
        <v>Never</v>
      </c>
      <c r="D40" s="5" t="str">
        <f ca="1">IF(COUNTIFS('Daily entry'!$A$2:$A$3001,D$4,'Daily entry'!$B$2:$B$3001,$A40)&gt;0,"✓","✗")</f>
        <v>✗</v>
      </c>
      <c r="E40" s="5" t="str">
        <f ca="1">IF(COUNTIFS('Daily entry'!$A$2:$A$3001,E$4,'Daily entry'!$B$2:$B$3001,$A40)&gt;0,"✓","✗")</f>
        <v>✗</v>
      </c>
      <c r="F40" s="5" t="str">
        <f ca="1">IF(COUNTIFS('Daily entry'!$A$2:$A$3001,F$4,'Daily entry'!$B$2:$B$3001,$A40)&gt;0,"✓","✗")</f>
        <v>✗</v>
      </c>
      <c r="G40" s="5" t="str">
        <f ca="1">IF(COUNTIFS('Daily entry'!$A$2:$A$3001,G$4,'Daily entry'!$B$2:$B$3001,$A40)&gt;0,"✓","✗")</f>
        <v>✗</v>
      </c>
      <c r="H40" s="5" t="str">
        <f ca="1">IF(COUNTIFS('Daily entry'!$A$2:$A$3001,H$4,'Daily entry'!$B$2:$B$3001,$A40)&gt;0,"✓","✗")</f>
        <v>✗</v>
      </c>
      <c r="I40" s="5" t="str">
        <f ca="1">IF(COUNTIFS('Daily entry'!$A$2:$A$3001,I$4,'Daily entry'!$B$2:$B$3001,$A40)&gt;0,"✓","✗")</f>
        <v>✗</v>
      </c>
      <c r="J40" s="5" t="str">
        <f ca="1">IF(COUNTIFS('Daily entry'!$A$2:$A$3001,J$4,'Daily entry'!$B$2:$B$3001,$A40)&gt;0,"✓","✗")</f>
        <v>✗</v>
      </c>
      <c r="K40" s="5" t="str">
        <f ca="1">IF(COUNTIFS('Daily entry'!$A$2:$A$3001,K$4,'Daily entry'!$B$2:$B$3001,$A40)&gt;0,"✓","✗")</f>
        <v>✗</v>
      </c>
      <c r="L40" s="5" t="str">
        <f ca="1">IF(COUNTIFS('Daily entry'!$A$2:$A$3001,L$4,'Daily entry'!$B$2:$B$3001,$A40)&gt;0,"✓","✗")</f>
        <v>✗</v>
      </c>
      <c r="M40" s="5" t="str">
        <f ca="1">IF(COUNTIFS('Daily entry'!$A$2:$A$3001,M$4,'Daily entry'!$B$2:$B$3001,$A40)&gt;0,"✓","✗")</f>
        <v>✗</v>
      </c>
      <c r="N40" s="5" t="str">
        <f ca="1">IF(COUNTIFS('Daily entry'!$A$2:$A$3001,N$4,'Daily entry'!$B$2:$B$3001,$A40)&gt;0,"✓","✗")</f>
        <v>✗</v>
      </c>
      <c r="O40" s="5" t="str">
        <f ca="1">IF(COUNTIFS('Daily entry'!$A$2:$A$3001,O$4,'Daily entry'!$B$2:$B$3001,$A40)&gt;0,"✓","✗")</f>
        <v>✗</v>
      </c>
      <c r="P40" s="5" t="str">
        <f ca="1">IF(COUNTIFS('Daily entry'!$A$2:$A$3001,P$4,'Daily entry'!$B$2:$B$3001,$A40)&gt;0,"✓","✗")</f>
        <v>✗</v>
      </c>
      <c r="Q40" s="5" t="str">
        <f ca="1">IF(COUNTIFS('Daily entry'!$A$2:$A$3001,Q$4,'Daily entry'!$B$2:$B$3001,$A40)&gt;0,"✓","✗")</f>
        <v>✗</v>
      </c>
    </row>
    <row r="41" spans="1:17" ht="15.75">
      <c r="A41" s="17" t="s">
        <v>79</v>
      </c>
      <c r="B41" s="4">
        <f t="shared" si="0"/>
        <v>0</v>
      </c>
      <c r="C41" s="4" t="str">
        <f>IF(COUNTIF('Daily entry'!$B$2:$B$3001,$A46)=0,"Never",_xlfn.MAXIFS('Daily entry'!$A$2:$A$3001,'Daily entry'!$B$2:$B$3001,$A46))</f>
        <v>Never</v>
      </c>
      <c r="D41" s="5" t="str">
        <f ca="1">IF(COUNTIFS('Daily entry'!$A$2:$A$3001,D$4,'Daily entry'!$B$2:$B$3001,$A41)&gt;0,"✓","✗")</f>
        <v>✗</v>
      </c>
      <c r="E41" s="5" t="str">
        <f ca="1">IF(COUNTIFS('Daily entry'!$A$2:$A$3001,E$4,'Daily entry'!$B$2:$B$3001,$A41)&gt;0,"✓","✗")</f>
        <v>✗</v>
      </c>
      <c r="F41" s="5" t="str">
        <f ca="1">IF(COUNTIFS('Daily entry'!$A$2:$A$3001,F$4,'Daily entry'!$B$2:$B$3001,$A41)&gt;0,"✓","✗")</f>
        <v>✗</v>
      </c>
      <c r="G41" s="5" t="str">
        <f ca="1">IF(COUNTIFS('Daily entry'!$A$2:$A$3001,G$4,'Daily entry'!$B$2:$B$3001,$A41)&gt;0,"✓","✗")</f>
        <v>✗</v>
      </c>
      <c r="H41" s="5" t="str">
        <f ca="1">IF(COUNTIFS('Daily entry'!$A$2:$A$3001,H$4,'Daily entry'!$B$2:$B$3001,$A41)&gt;0,"✓","✗")</f>
        <v>✗</v>
      </c>
      <c r="I41" s="5" t="str">
        <f ca="1">IF(COUNTIFS('Daily entry'!$A$2:$A$3001,I$4,'Daily entry'!$B$2:$B$3001,$A41)&gt;0,"✓","✗")</f>
        <v>✗</v>
      </c>
      <c r="J41" s="5" t="str">
        <f ca="1">IF(COUNTIFS('Daily entry'!$A$2:$A$3001,J$4,'Daily entry'!$B$2:$B$3001,$A41)&gt;0,"✓","✗")</f>
        <v>✗</v>
      </c>
      <c r="K41" s="5" t="str">
        <f ca="1">IF(COUNTIFS('Daily entry'!$A$2:$A$3001,K$4,'Daily entry'!$B$2:$B$3001,$A41)&gt;0,"✓","✗")</f>
        <v>✗</v>
      </c>
      <c r="L41" s="5" t="str">
        <f ca="1">IF(COUNTIFS('Daily entry'!$A$2:$A$3001,L$4,'Daily entry'!$B$2:$B$3001,$A41)&gt;0,"✓","✗")</f>
        <v>✗</v>
      </c>
      <c r="M41" s="5" t="str">
        <f ca="1">IF(COUNTIFS('Daily entry'!$A$2:$A$3001,M$4,'Daily entry'!$B$2:$B$3001,$A41)&gt;0,"✓","✗")</f>
        <v>✗</v>
      </c>
      <c r="N41" s="5" t="str">
        <f ca="1">IF(COUNTIFS('Daily entry'!$A$2:$A$3001,N$4,'Daily entry'!$B$2:$B$3001,$A41)&gt;0,"✓","✗")</f>
        <v>✗</v>
      </c>
      <c r="O41" s="5" t="str">
        <f ca="1">IF(COUNTIFS('Daily entry'!$A$2:$A$3001,O$4,'Daily entry'!$B$2:$B$3001,$A41)&gt;0,"✓","✗")</f>
        <v>✗</v>
      </c>
      <c r="P41" s="5" t="str">
        <f ca="1">IF(COUNTIFS('Daily entry'!$A$2:$A$3001,P$4,'Daily entry'!$B$2:$B$3001,$A41)&gt;0,"✓","✗")</f>
        <v>✗</v>
      </c>
      <c r="Q41" s="5" t="str">
        <f ca="1">IF(COUNTIFS('Daily entry'!$A$2:$A$3001,Q$4,'Daily entry'!$B$2:$B$3001,$A41)&gt;0,"✓","✗")</f>
        <v>✗</v>
      </c>
    </row>
    <row r="42" spans="1:17" ht="15.75">
      <c r="A42" s="17" t="s">
        <v>82</v>
      </c>
      <c r="B42" s="4">
        <f t="shared" si="0"/>
        <v>0</v>
      </c>
      <c r="C42" s="4" t="str">
        <f>IF(COUNTIF('Daily entry'!$B$2:$B$3001,$A47)=0,"Never",_xlfn.MAXIFS('Daily entry'!$A$2:$A$3001,'Daily entry'!$B$2:$B$3001,$A47))</f>
        <v>Never</v>
      </c>
      <c r="D42" s="5" t="str">
        <f ca="1">IF(COUNTIFS('Daily entry'!$A$2:$A$3001,D$4,'Daily entry'!$B$2:$B$3001,$A42)&gt;0,"✓","✗")</f>
        <v>✗</v>
      </c>
      <c r="E42" s="5" t="str">
        <f ca="1">IF(COUNTIFS('Daily entry'!$A$2:$A$3001,E$4,'Daily entry'!$B$2:$B$3001,$A42)&gt;0,"✓","✗")</f>
        <v>✗</v>
      </c>
      <c r="F42" s="5" t="str">
        <f ca="1">IF(COUNTIFS('Daily entry'!$A$2:$A$3001,F$4,'Daily entry'!$B$2:$B$3001,$A42)&gt;0,"✓","✗")</f>
        <v>✗</v>
      </c>
      <c r="G42" s="5" t="str">
        <f ca="1">IF(COUNTIFS('Daily entry'!$A$2:$A$3001,G$4,'Daily entry'!$B$2:$B$3001,$A42)&gt;0,"✓","✗")</f>
        <v>✗</v>
      </c>
      <c r="H42" s="5" t="str">
        <f ca="1">IF(COUNTIFS('Daily entry'!$A$2:$A$3001,H$4,'Daily entry'!$B$2:$B$3001,$A42)&gt;0,"✓","✗")</f>
        <v>✗</v>
      </c>
      <c r="I42" s="5" t="str">
        <f ca="1">IF(COUNTIFS('Daily entry'!$A$2:$A$3001,I$4,'Daily entry'!$B$2:$B$3001,$A42)&gt;0,"✓","✗")</f>
        <v>✗</v>
      </c>
      <c r="J42" s="5" t="str">
        <f ca="1">IF(COUNTIFS('Daily entry'!$A$2:$A$3001,J$4,'Daily entry'!$B$2:$B$3001,$A42)&gt;0,"✓","✗")</f>
        <v>✗</v>
      </c>
      <c r="K42" s="5" t="str">
        <f ca="1">IF(COUNTIFS('Daily entry'!$A$2:$A$3001,K$4,'Daily entry'!$B$2:$B$3001,$A42)&gt;0,"✓","✗")</f>
        <v>✗</v>
      </c>
      <c r="L42" s="5" t="str">
        <f ca="1">IF(COUNTIFS('Daily entry'!$A$2:$A$3001,L$4,'Daily entry'!$B$2:$B$3001,$A42)&gt;0,"✓","✗")</f>
        <v>✗</v>
      </c>
      <c r="M42" s="5" t="str">
        <f ca="1">IF(COUNTIFS('Daily entry'!$A$2:$A$3001,M$4,'Daily entry'!$B$2:$B$3001,$A42)&gt;0,"✓","✗")</f>
        <v>✗</v>
      </c>
      <c r="N42" s="5" t="str">
        <f ca="1">IF(COUNTIFS('Daily entry'!$A$2:$A$3001,N$4,'Daily entry'!$B$2:$B$3001,$A42)&gt;0,"✓","✗")</f>
        <v>✗</v>
      </c>
      <c r="O42" s="5" t="str">
        <f ca="1">IF(COUNTIFS('Daily entry'!$A$2:$A$3001,O$4,'Daily entry'!$B$2:$B$3001,$A42)&gt;0,"✓","✗")</f>
        <v>✗</v>
      </c>
      <c r="P42" s="5" t="str">
        <f ca="1">IF(COUNTIFS('Daily entry'!$A$2:$A$3001,P$4,'Daily entry'!$B$2:$B$3001,$A42)&gt;0,"✓","✗")</f>
        <v>✗</v>
      </c>
      <c r="Q42" s="5" t="str">
        <f ca="1">IF(COUNTIFS('Daily entry'!$A$2:$A$3001,Q$4,'Daily entry'!$B$2:$B$3001,$A42)&gt;0,"✓","✗")</f>
        <v>✗</v>
      </c>
    </row>
    <row r="43" spans="1:17" ht="15.75">
      <c r="A43" s="17" t="s">
        <v>84</v>
      </c>
      <c r="B43" s="4">
        <f t="shared" si="0"/>
        <v>0</v>
      </c>
      <c r="C43" s="4" t="str">
        <f>IF(COUNTIF('Daily entry'!$B$2:$B$3001,$A48)=0,"Never",_xlfn.MAXIFS('Daily entry'!$A$2:$A$3001,'Daily entry'!$B$2:$B$3001,$A48))</f>
        <v>Never</v>
      </c>
      <c r="D43" s="5" t="str">
        <f ca="1">IF(COUNTIFS('Daily entry'!$A$2:$A$3001,D$4,'Daily entry'!$B$2:$B$3001,$A43)&gt;0,"✓","✗")</f>
        <v>✗</v>
      </c>
      <c r="E43" s="5" t="str">
        <f ca="1">IF(COUNTIFS('Daily entry'!$A$2:$A$3001,E$4,'Daily entry'!$B$2:$B$3001,$A43)&gt;0,"✓","✗")</f>
        <v>✗</v>
      </c>
      <c r="F43" s="5" t="str">
        <f ca="1">IF(COUNTIFS('Daily entry'!$A$2:$A$3001,F$4,'Daily entry'!$B$2:$B$3001,$A43)&gt;0,"✓","✗")</f>
        <v>✗</v>
      </c>
      <c r="G43" s="5" t="str">
        <f ca="1">IF(COUNTIFS('Daily entry'!$A$2:$A$3001,G$4,'Daily entry'!$B$2:$B$3001,$A43)&gt;0,"✓","✗")</f>
        <v>✗</v>
      </c>
      <c r="H43" s="5" t="str">
        <f ca="1">IF(COUNTIFS('Daily entry'!$A$2:$A$3001,H$4,'Daily entry'!$B$2:$B$3001,$A43)&gt;0,"✓","✗")</f>
        <v>✗</v>
      </c>
      <c r="I43" s="5" t="str">
        <f ca="1">IF(COUNTIFS('Daily entry'!$A$2:$A$3001,I$4,'Daily entry'!$B$2:$B$3001,$A43)&gt;0,"✓","✗")</f>
        <v>✗</v>
      </c>
      <c r="J43" s="5" t="str">
        <f ca="1">IF(COUNTIFS('Daily entry'!$A$2:$A$3001,J$4,'Daily entry'!$B$2:$B$3001,$A43)&gt;0,"✓","✗")</f>
        <v>✗</v>
      </c>
      <c r="K43" s="5" t="str">
        <f ca="1">IF(COUNTIFS('Daily entry'!$A$2:$A$3001,K$4,'Daily entry'!$B$2:$B$3001,$A43)&gt;0,"✓","✗")</f>
        <v>✗</v>
      </c>
      <c r="L43" s="5" t="str">
        <f ca="1">IF(COUNTIFS('Daily entry'!$A$2:$A$3001,L$4,'Daily entry'!$B$2:$B$3001,$A43)&gt;0,"✓","✗")</f>
        <v>✗</v>
      </c>
      <c r="M43" s="5" t="str">
        <f ca="1">IF(COUNTIFS('Daily entry'!$A$2:$A$3001,M$4,'Daily entry'!$B$2:$B$3001,$A43)&gt;0,"✓","✗")</f>
        <v>✗</v>
      </c>
      <c r="N43" s="5" t="str">
        <f ca="1">IF(COUNTIFS('Daily entry'!$A$2:$A$3001,N$4,'Daily entry'!$B$2:$B$3001,$A43)&gt;0,"✓","✗")</f>
        <v>✗</v>
      </c>
      <c r="O43" s="5" t="str">
        <f ca="1">IF(COUNTIFS('Daily entry'!$A$2:$A$3001,O$4,'Daily entry'!$B$2:$B$3001,$A43)&gt;0,"✓","✗")</f>
        <v>✗</v>
      </c>
      <c r="P43" s="5" t="str">
        <f ca="1">IF(COUNTIFS('Daily entry'!$A$2:$A$3001,P$4,'Daily entry'!$B$2:$B$3001,$A43)&gt;0,"✓","✗")</f>
        <v>✗</v>
      </c>
      <c r="Q43" s="5" t="str">
        <f ca="1">IF(COUNTIFS('Daily entry'!$A$2:$A$3001,Q$4,'Daily entry'!$B$2:$B$3001,$A43)&gt;0,"✓","✗")</f>
        <v>✗</v>
      </c>
    </row>
    <row r="44" spans="1:17">
      <c r="D44" s="7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093F7-CFE8-4E86-889D-17D9EA3935C6}">
  <dimension ref="A1:DN118"/>
  <sheetViews>
    <sheetView topLeftCell="A107" workbookViewId="0">
      <selection activeCell="A2" sqref="A2"/>
    </sheetView>
  </sheetViews>
  <sheetFormatPr defaultRowHeight="15"/>
  <cols>
    <col min="1" max="1" width="10.42578125" bestFit="1" customWidth="1"/>
    <col min="2" max="2" width="43.42578125" bestFit="1" customWidth="1"/>
    <col min="3" max="3" width="44.140625" bestFit="1" customWidth="1"/>
    <col min="4" max="4" width="44.7109375" bestFit="1" customWidth="1"/>
    <col min="5" max="5" width="25.140625" bestFit="1" customWidth="1"/>
    <col min="6" max="6" width="26.140625" bestFit="1" customWidth="1"/>
    <col min="7" max="7" width="26.5703125" bestFit="1" customWidth="1"/>
    <col min="8" max="8" width="33.7109375" bestFit="1" customWidth="1"/>
    <col min="9" max="9" width="34.7109375" bestFit="1" customWidth="1"/>
    <col min="10" max="10" width="35.140625" bestFit="1" customWidth="1"/>
    <col min="11" max="11" width="28" bestFit="1" customWidth="1"/>
    <col min="12" max="12" width="28.85546875" bestFit="1" customWidth="1"/>
    <col min="13" max="13" width="29.42578125" bestFit="1" customWidth="1"/>
    <col min="14" max="14" width="40.42578125" bestFit="1" customWidth="1"/>
    <col min="15" max="15" width="41.28515625" bestFit="1" customWidth="1"/>
    <col min="16" max="16" width="41.7109375" bestFit="1" customWidth="1"/>
    <col min="17" max="17" width="36.85546875" bestFit="1" customWidth="1"/>
    <col min="18" max="18" width="37.7109375" bestFit="1" customWidth="1"/>
    <col min="19" max="19" width="38.28515625" bestFit="1" customWidth="1"/>
    <col min="20" max="20" width="34.5703125" bestFit="1" customWidth="1"/>
    <col min="21" max="21" width="35.42578125" bestFit="1" customWidth="1"/>
    <col min="22" max="22" width="35.85546875" bestFit="1" customWidth="1"/>
    <col min="23" max="23" width="34.5703125" bestFit="1" customWidth="1"/>
    <col min="24" max="24" width="35.42578125" bestFit="1" customWidth="1"/>
    <col min="25" max="25" width="35.85546875" bestFit="1" customWidth="1"/>
    <col min="26" max="26" width="32.7109375" bestFit="1" customWidth="1"/>
    <col min="27" max="27" width="33.5703125" bestFit="1" customWidth="1"/>
    <col min="28" max="28" width="34.28515625" bestFit="1" customWidth="1"/>
    <col min="29" max="29" width="34.5703125" bestFit="1" customWidth="1"/>
    <col min="30" max="30" width="35.42578125" bestFit="1" customWidth="1"/>
    <col min="31" max="31" width="36" bestFit="1" customWidth="1"/>
    <col min="32" max="32" width="34.5703125" bestFit="1" customWidth="1"/>
    <col min="33" max="33" width="35.42578125" bestFit="1" customWidth="1"/>
    <col min="34" max="34" width="35.85546875" bestFit="1" customWidth="1"/>
    <col min="35" max="35" width="35.5703125" bestFit="1" customWidth="1"/>
    <col min="36" max="36" width="36.42578125" bestFit="1" customWidth="1"/>
    <col min="37" max="37" width="37" bestFit="1" customWidth="1"/>
    <col min="38" max="38" width="41.42578125" bestFit="1" customWidth="1"/>
    <col min="39" max="39" width="42.42578125" bestFit="1" customWidth="1"/>
    <col min="40" max="40" width="42.85546875" bestFit="1" customWidth="1"/>
    <col min="41" max="41" width="33.140625" bestFit="1" customWidth="1"/>
    <col min="42" max="42" width="34.140625" bestFit="1" customWidth="1"/>
    <col min="43" max="43" width="34.5703125" bestFit="1" customWidth="1"/>
    <col min="44" max="44" width="39.5703125" bestFit="1" customWidth="1"/>
    <col min="45" max="45" width="40.42578125" bestFit="1" customWidth="1"/>
    <col min="46" max="46" width="40.85546875" bestFit="1" customWidth="1"/>
    <col min="47" max="47" width="37.85546875" bestFit="1" customWidth="1"/>
    <col min="48" max="48" width="38.85546875" bestFit="1" customWidth="1"/>
    <col min="49" max="49" width="39.28515625" bestFit="1" customWidth="1"/>
    <col min="50" max="50" width="32.5703125" bestFit="1" customWidth="1"/>
    <col min="51" max="51" width="33.42578125" bestFit="1" customWidth="1"/>
    <col min="52" max="52" width="34" bestFit="1" customWidth="1"/>
    <col min="53" max="53" width="41.28515625" bestFit="1" customWidth="1"/>
    <col min="54" max="54" width="42" bestFit="1" customWidth="1"/>
    <col min="55" max="55" width="42.7109375" bestFit="1" customWidth="1"/>
    <col min="56" max="56" width="37.140625" bestFit="1" customWidth="1"/>
    <col min="57" max="57" width="38.140625" bestFit="1" customWidth="1"/>
    <col min="58" max="58" width="38.7109375" bestFit="1" customWidth="1"/>
    <col min="59" max="59" width="39.28515625" bestFit="1" customWidth="1"/>
    <col min="60" max="60" width="40.140625" bestFit="1" customWidth="1"/>
    <col min="61" max="61" width="40.5703125" bestFit="1" customWidth="1"/>
    <col min="62" max="62" width="41.5703125" bestFit="1" customWidth="1"/>
    <col min="63" max="63" width="42.5703125" bestFit="1" customWidth="1"/>
    <col min="64" max="64" width="43" bestFit="1" customWidth="1"/>
    <col min="65" max="65" width="44.28515625" bestFit="1" customWidth="1"/>
    <col min="66" max="66" width="45.140625" bestFit="1" customWidth="1"/>
    <col min="67" max="67" width="45.5703125" bestFit="1" customWidth="1"/>
    <col min="68" max="68" width="29.85546875" bestFit="1" customWidth="1"/>
    <col min="69" max="69" width="30.7109375" bestFit="1" customWidth="1"/>
    <col min="70" max="70" width="31.140625" bestFit="1" customWidth="1"/>
    <col min="71" max="71" width="35.140625" bestFit="1" customWidth="1"/>
    <col min="72" max="72" width="35.85546875" bestFit="1" customWidth="1"/>
    <col min="73" max="73" width="36.42578125" bestFit="1" customWidth="1"/>
    <col min="74" max="74" width="35.7109375" bestFit="1" customWidth="1"/>
    <col min="75" max="75" width="36.5703125" bestFit="1" customWidth="1"/>
    <col min="76" max="76" width="37.140625" bestFit="1" customWidth="1"/>
    <col min="77" max="77" width="36" bestFit="1" customWidth="1"/>
    <col min="78" max="78" width="36.7109375" bestFit="1" customWidth="1"/>
    <col min="79" max="79" width="37.28515625" bestFit="1" customWidth="1"/>
    <col min="80" max="80" width="37.140625" bestFit="1" customWidth="1"/>
    <col min="81" max="81" width="38.140625" bestFit="1" customWidth="1"/>
    <col min="82" max="82" width="38.5703125" bestFit="1" customWidth="1"/>
    <col min="83" max="83" width="25.7109375" bestFit="1" customWidth="1"/>
    <col min="84" max="84" width="26.5703125" bestFit="1" customWidth="1"/>
    <col min="85" max="85" width="27" bestFit="1" customWidth="1"/>
    <col min="86" max="86" width="39.5703125" bestFit="1" customWidth="1"/>
    <col min="87" max="87" width="40.42578125" bestFit="1" customWidth="1"/>
    <col min="88" max="88" width="41" bestFit="1" customWidth="1"/>
    <col min="89" max="89" width="38.5703125" bestFit="1" customWidth="1"/>
    <col min="90" max="90" width="39.42578125" bestFit="1" customWidth="1"/>
    <col min="91" max="91" width="39.85546875" bestFit="1" customWidth="1"/>
    <col min="92" max="92" width="40.7109375" bestFit="1" customWidth="1"/>
    <col min="93" max="93" width="41.5703125" bestFit="1" customWidth="1"/>
    <col min="94" max="94" width="42" bestFit="1" customWidth="1"/>
    <col min="95" max="95" width="27.140625" bestFit="1" customWidth="1"/>
    <col min="96" max="96" width="28" bestFit="1" customWidth="1"/>
    <col min="97" max="97" width="28.5703125" bestFit="1" customWidth="1"/>
    <col min="98" max="98" width="36.85546875" bestFit="1" customWidth="1"/>
    <col min="99" max="99" width="37.7109375" bestFit="1" customWidth="1"/>
    <col min="100" max="100" width="38.28515625" bestFit="1" customWidth="1"/>
    <col min="101" max="101" width="32.42578125" bestFit="1" customWidth="1"/>
    <col min="102" max="102" width="33.28515625" bestFit="1" customWidth="1"/>
    <col min="103" max="103" width="33.7109375" bestFit="1" customWidth="1"/>
    <col min="104" max="104" width="34.28515625" bestFit="1" customWidth="1"/>
    <col min="105" max="105" width="35.140625" bestFit="1" customWidth="1"/>
    <col min="106" max="106" width="35.5703125" bestFit="1" customWidth="1"/>
    <col min="107" max="107" width="33.7109375" bestFit="1" customWidth="1"/>
    <col min="108" max="108" width="34.5703125" bestFit="1" customWidth="1"/>
    <col min="109" max="109" width="35.140625" bestFit="1" customWidth="1"/>
    <col min="110" max="110" width="36.28515625" bestFit="1" customWidth="1"/>
    <col min="111" max="111" width="37.140625" bestFit="1" customWidth="1"/>
    <col min="112" max="112" width="37.7109375" bestFit="1" customWidth="1"/>
    <col min="113" max="113" width="27.42578125" bestFit="1" customWidth="1"/>
    <col min="114" max="114" width="28.28515625" bestFit="1" customWidth="1"/>
    <col min="115" max="115" width="28.85546875" bestFit="1" customWidth="1"/>
    <col min="116" max="116" width="27.28515625" bestFit="1" customWidth="1"/>
    <col min="117" max="117" width="28.140625" bestFit="1" customWidth="1"/>
    <col min="118" max="118" width="28.5703125" bestFit="1" customWidth="1"/>
  </cols>
  <sheetData>
    <row r="1" spans="1:118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115</v>
      </c>
      <c r="Z1" t="s">
        <v>116</v>
      </c>
      <c r="AA1" t="s">
        <v>117</v>
      </c>
      <c r="AB1" t="s">
        <v>118</v>
      </c>
      <c r="AC1" t="s">
        <v>119</v>
      </c>
      <c r="AD1" t="s">
        <v>120</v>
      </c>
      <c r="AE1" t="s">
        <v>121</v>
      </c>
      <c r="AF1" t="s">
        <v>122</v>
      </c>
      <c r="AG1" t="s">
        <v>123</v>
      </c>
      <c r="AH1" t="s">
        <v>124</v>
      </c>
      <c r="AI1" t="s">
        <v>125</v>
      </c>
      <c r="AJ1" t="s">
        <v>126</v>
      </c>
      <c r="AK1" t="s">
        <v>127</v>
      </c>
      <c r="AL1" t="s">
        <v>128</v>
      </c>
      <c r="AM1" t="s">
        <v>129</v>
      </c>
      <c r="AN1" t="s">
        <v>130</v>
      </c>
      <c r="AO1" t="s">
        <v>131</v>
      </c>
      <c r="AP1" t="s">
        <v>132</v>
      </c>
      <c r="AQ1" t="s">
        <v>133</v>
      </c>
      <c r="AR1" t="s">
        <v>134</v>
      </c>
      <c r="AS1" t="s">
        <v>135</v>
      </c>
      <c r="AT1" t="s">
        <v>136</v>
      </c>
      <c r="AU1" t="s">
        <v>137</v>
      </c>
      <c r="AV1" t="s">
        <v>138</v>
      </c>
      <c r="AW1" t="s">
        <v>139</v>
      </c>
      <c r="AX1" t="s">
        <v>140</v>
      </c>
      <c r="AY1" t="s">
        <v>141</v>
      </c>
      <c r="AZ1" t="s">
        <v>142</v>
      </c>
      <c r="BA1" t="s">
        <v>143</v>
      </c>
      <c r="BB1" t="s">
        <v>144</v>
      </c>
      <c r="BC1" t="s">
        <v>145</v>
      </c>
      <c r="BD1" t="s">
        <v>146</v>
      </c>
      <c r="BE1" t="s">
        <v>147</v>
      </c>
      <c r="BF1" t="s">
        <v>148</v>
      </c>
      <c r="BG1" t="s">
        <v>149</v>
      </c>
      <c r="BH1" t="s">
        <v>150</v>
      </c>
      <c r="BI1" t="s">
        <v>151</v>
      </c>
      <c r="BJ1" t="s">
        <v>152</v>
      </c>
      <c r="BK1" t="s">
        <v>153</v>
      </c>
      <c r="BL1" t="s">
        <v>154</v>
      </c>
      <c r="BM1" t="s">
        <v>155</v>
      </c>
      <c r="BN1" t="s">
        <v>156</v>
      </c>
      <c r="BO1" t="s">
        <v>157</v>
      </c>
      <c r="BP1" t="s">
        <v>158</v>
      </c>
      <c r="BQ1" t="s">
        <v>159</v>
      </c>
      <c r="BR1" t="s">
        <v>160</v>
      </c>
      <c r="BS1" t="s">
        <v>161</v>
      </c>
      <c r="BT1" t="s">
        <v>162</v>
      </c>
      <c r="BU1" t="s">
        <v>163</v>
      </c>
      <c r="BV1" t="s">
        <v>164</v>
      </c>
      <c r="BW1" t="s">
        <v>165</v>
      </c>
      <c r="BX1" t="s">
        <v>166</v>
      </c>
      <c r="BY1" t="s">
        <v>167</v>
      </c>
      <c r="BZ1" t="s">
        <v>168</v>
      </c>
      <c r="CA1" t="s">
        <v>169</v>
      </c>
      <c r="CB1" t="s">
        <v>170</v>
      </c>
      <c r="CC1" t="s">
        <v>171</v>
      </c>
      <c r="CD1" t="s">
        <v>172</v>
      </c>
      <c r="CE1" t="s">
        <v>173</v>
      </c>
      <c r="CF1" t="s">
        <v>174</v>
      </c>
      <c r="CG1" t="s">
        <v>175</v>
      </c>
      <c r="CH1" t="s">
        <v>176</v>
      </c>
      <c r="CI1" t="s">
        <v>177</v>
      </c>
      <c r="CJ1" t="s">
        <v>178</v>
      </c>
      <c r="CK1" t="s">
        <v>179</v>
      </c>
      <c r="CL1" t="s">
        <v>180</v>
      </c>
      <c r="CM1" t="s">
        <v>181</v>
      </c>
      <c r="CN1" t="s">
        <v>182</v>
      </c>
      <c r="CO1" t="s">
        <v>183</v>
      </c>
      <c r="CP1" t="s">
        <v>184</v>
      </c>
      <c r="CQ1" t="s">
        <v>185</v>
      </c>
      <c r="CR1" t="s">
        <v>186</v>
      </c>
      <c r="CS1" t="s">
        <v>187</v>
      </c>
      <c r="CT1" t="s">
        <v>188</v>
      </c>
      <c r="CU1" t="s">
        <v>189</v>
      </c>
      <c r="CV1" t="s">
        <v>190</v>
      </c>
      <c r="CW1" t="s">
        <v>191</v>
      </c>
      <c r="CX1" t="s">
        <v>192</v>
      </c>
      <c r="CY1" t="s">
        <v>193</v>
      </c>
      <c r="CZ1" t="s">
        <v>194</v>
      </c>
      <c r="DA1" t="s">
        <v>195</v>
      </c>
      <c r="DB1" t="s">
        <v>196</v>
      </c>
      <c r="DC1" t="s">
        <v>197</v>
      </c>
      <c r="DD1" t="s">
        <v>198</v>
      </c>
      <c r="DE1" t="s">
        <v>199</v>
      </c>
      <c r="DF1" t="s">
        <v>200</v>
      </c>
      <c r="DG1" t="s">
        <v>201</v>
      </c>
      <c r="DH1" t="s">
        <v>202</v>
      </c>
      <c r="DI1" t="s">
        <v>203</v>
      </c>
      <c r="DJ1" t="s">
        <v>204</v>
      </c>
      <c r="DK1" t="s">
        <v>205</v>
      </c>
      <c r="DL1" t="s">
        <v>206</v>
      </c>
      <c r="DM1" t="s">
        <v>207</v>
      </c>
      <c r="DN1" t="s">
        <v>208</v>
      </c>
    </row>
    <row r="2" spans="1:118">
      <c r="A2" s="12">
        <v>46180</v>
      </c>
      <c r="B2">
        <v>10496</v>
      </c>
      <c r="C2">
        <v>1</v>
      </c>
      <c r="D2">
        <v>1</v>
      </c>
      <c r="E2">
        <v>2147</v>
      </c>
      <c r="F2">
        <v>0</v>
      </c>
      <c r="G2">
        <v>0</v>
      </c>
    </row>
    <row r="3" spans="1:118">
      <c r="A3" s="12">
        <v>46181</v>
      </c>
      <c r="B3">
        <v>12584</v>
      </c>
      <c r="C3">
        <v>0</v>
      </c>
      <c r="D3">
        <v>0</v>
      </c>
      <c r="E3">
        <v>1921</v>
      </c>
      <c r="F3">
        <v>0</v>
      </c>
      <c r="G3">
        <v>0</v>
      </c>
    </row>
    <row r="4" spans="1:118">
      <c r="A4" s="12">
        <v>46182</v>
      </c>
      <c r="B4">
        <v>12288</v>
      </c>
      <c r="C4">
        <v>0</v>
      </c>
      <c r="D4">
        <v>0</v>
      </c>
      <c r="E4">
        <v>2067</v>
      </c>
      <c r="F4">
        <v>0</v>
      </c>
      <c r="G4">
        <v>0</v>
      </c>
    </row>
    <row r="5" spans="1:118">
      <c r="A5" s="12">
        <v>46183</v>
      </c>
      <c r="B5">
        <v>13727</v>
      </c>
      <c r="C5">
        <v>0</v>
      </c>
      <c r="D5">
        <v>0</v>
      </c>
      <c r="E5">
        <v>2424</v>
      </c>
      <c r="F5">
        <v>0</v>
      </c>
      <c r="G5">
        <v>0</v>
      </c>
    </row>
    <row r="6" spans="1:118">
      <c r="A6" s="12">
        <v>46184</v>
      </c>
      <c r="B6">
        <v>13974</v>
      </c>
      <c r="C6">
        <v>0</v>
      </c>
      <c r="D6">
        <v>0</v>
      </c>
      <c r="E6">
        <v>2004</v>
      </c>
      <c r="F6">
        <v>0</v>
      </c>
      <c r="G6">
        <v>0</v>
      </c>
    </row>
    <row r="7" spans="1:118">
      <c r="A7" s="12">
        <v>46185</v>
      </c>
      <c r="B7">
        <v>13868</v>
      </c>
      <c r="C7">
        <v>0</v>
      </c>
      <c r="D7">
        <v>0</v>
      </c>
      <c r="E7">
        <v>2122</v>
      </c>
      <c r="F7">
        <v>0</v>
      </c>
      <c r="G7">
        <v>0</v>
      </c>
      <c r="K7">
        <v>137</v>
      </c>
      <c r="L7">
        <v>0</v>
      </c>
      <c r="M7">
        <v>0</v>
      </c>
    </row>
    <row r="8" spans="1:118">
      <c r="A8" s="12">
        <v>46186</v>
      </c>
      <c r="B8">
        <v>10147</v>
      </c>
      <c r="C8">
        <v>0</v>
      </c>
      <c r="D8">
        <v>0</v>
      </c>
      <c r="E8">
        <v>1544</v>
      </c>
      <c r="F8">
        <v>0</v>
      </c>
      <c r="G8">
        <v>0</v>
      </c>
      <c r="H8">
        <v>801</v>
      </c>
      <c r="I8">
        <v>1</v>
      </c>
      <c r="J8">
        <v>1</v>
      </c>
      <c r="K8">
        <v>172</v>
      </c>
      <c r="L8">
        <v>0</v>
      </c>
      <c r="M8">
        <v>0</v>
      </c>
    </row>
    <row r="9" spans="1:118">
      <c r="A9" s="12">
        <v>46187</v>
      </c>
      <c r="B9">
        <v>14258</v>
      </c>
      <c r="C9">
        <v>0</v>
      </c>
      <c r="D9">
        <v>0</v>
      </c>
      <c r="E9">
        <v>1995</v>
      </c>
      <c r="F9">
        <v>0</v>
      </c>
      <c r="G9">
        <v>0</v>
      </c>
      <c r="H9">
        <v>522</v>
      </c>
      <c r="I9">
        <v>0</v>
      </c>
      <c r="J9">
        <v>0</v>
      </c>
      <c r="K9">
        <v>234</v>
      </c>
      <c r="L9">
        <v>0</v>
      </c>
      <c r="M9">
        <v>0</v>
      </c>
    </row>
    <row r="10" spans="1:118">
      <c r="A10" s="12">
        <v>46188</v>
      </c>
    </row>
    <row r="11" spans="1:118">
      <c r="A11" s="12">
        <v>46189</v>
      </c>
      <c r="B11">
        <v>14333</v>
      </c>
      <c r="C11">
        <v>0</v>
      </c>
      <c r="D11">
        <v>0</v>
      </c>
      <c r="E11">
        <v>2416</v>
      </c>
      <c r="F11">
        <v>0</v>
      </c>
      <c r="G11">
        <v>0</v>
      </c>
      <c r="H11">
        <v>857</v>
      </c>
      <c r="I11">
        <v>0</v>
      </c>
      <c r="J11">
        <v>0</v>
      </c>
      <c r="K11">
        <v>345</v>
      </c>
      <c r="L11">
        <v>0</v>
      </c>
      <c r="M11">
        <v>0</v>
      </c>
    </row>
    <row r="12" spans="1:118">
      <c r="A12" s="12">
        <v>46190</v>
      </c>
      <c r="B12">
        <v>13066</v>
      </c>
      <c r="C12">
        <v>0</v>
      </c>
      <c r="D12">
        <v>0</v>
      </c>
      <c r="E12">
        <v>2140</v>
      </c>
      <c r="F12">
        <v>0</v>
      </c>
      <c r="G12">
        <v>0</v>
      </c>
      <c r="H12">
        <v>735</v>
      </c>
      <c r="I12">
        <v>0</v>
      </c>
      <c r="J12">
        <v>0</v>
      </c>
      <c r="K12">
        <v>389</v>
      </c>
      <c r="L12">
        <v>0</v>
      </c>
      <c r="M12">
        <v>0</v>
      </c>
    </row>
    <row r="13" spans="1:118">
      <c r="A13" s="12">
        <v>46191</v>
      </c>
    </row>
    <row r="14" spans="1:118">
      <c r="A14" s="12">
        <v>46192</v>
      </c>
      <c r="B14">
        <v>13939</v>
      </c>
      <c r="C14">
        <v>0</v>
      </c>
      <c r="D14">
        <v>0</v>
      </c>
      <c r="E14">
        <v>3000</v>
      </c>
      <c r="F14">
        <v>0</v>
      </c>
      <c r="G14">
        <v>0</v>
      </c>
      <c r="H14">
        <v>700</v>
      </c>
      <c r="I14">
        <v>1</v>
      </c>
      <c r="J14">
        <v>1</v>
      </c>
      <c r="K14">
        <v>371</v>
      </c>
      <c r="L14">
        <v>0</v>
      </c>
      <c r="M14">
        <v>0</v>
      </c>
    </row>
    <row r="15" spans="1:118">
      <c r="A15" s="12">
        <v>46193</v>
      </c>
      <c r="B15">
        <v>14514</v>
      </c>
      <c r="C15">
        <v>0</v>
      </c>
      <c r="D15">
        <v>0</v>
      </c>
      <c r="E15">
        <v>3249</v>
      </c>
      <c r="F15">
        <v>0</v>
      </c>
      <c r="G15">
        <v>0</v>
      </c>
      <c r="H15">
        <v>705</v>
      </c>
      <c r="I15">
        <v>0</v>
      </c>
      <c r="J15">
        <v>0</v>
      </c>
      <c r="K15">
        <v>307</v>
      </c>
      <c r="L15">
        <v>0</v>
      </c>
      <c r="M15">
        <v>0</v>
      </c>
    </row>
    <row r="16" spans="1:118">
      <c r="A16" s="12">
        <v>46194</v>
      </c>
      <c r="B16">
        <v>9907</v>
      </c>
      <c r="C16">
        <v>0</v>
      </c>
      <c r="D16">
        <v>0</v>
      </c>
      <c r="E16">
        <v>1981</v>
      </c>
      <c r="F16">
        <v>0</v>
      </c>
      <c r="G16">
        <v>0</v>
      </c>
      <c r="H16">
        <v>1045</v>
      </c>
      <c r="I16">
        <v>0</v>
      </c>
      <c r="J16">
        <v>0</v>
      </c>
      <c r="K16">
        <v>375</v>
      </c>
      <c r="L16">
        <v>0</v>
      </c>
      <c r="M16">
        <v>0</v>
      </c>
    </row>
    <row r="17" spans="1:13">
      <c r="A17" s="12">
        <v>46195</v>
      </c>
    </row>
    <row r="18" spans="1:13">
      <c r="A18" s="12">
        <v>46196</v>
      </c>
      <c r="B18">
        <v>15267</v>
      </c>
      <c r="C18">
        <v>0</v>
      </c>
      <c r="D18">
        <v>0</v>
      </c>
      <c r="E18">
        <v>3768</v>
      </c>
      <c r="F18">
        <v>0</v>
      </c>
      <c r="G18">
        <v>0</v>
      </c>
      <c r="H18">
        <v>1060</v>
      </c>
      <c r="I18">
        <v>0</v>
      </c>
      <c r="J18">
        <v>0</v>
      </c>
      <c r="K18">
        <v>346</v>
      </c>
      <c r="L18">
        <v>0</v>
      </c>
      <c r="M18">
        <v>0</v>
      </c>
    </row>
    <row r="19" spans="1:13">
      <c r="A19" s="12">
        <v>46197</v>
      </c>
    </row>
    <row r="20" spans="1:13">
      <c r="A20" s="12">
        <v>46198</v>
      </c>
      <c r="B20">
        <v>12656</v>
      </c>
      <c r="C20">
        <v>0</v>
      </c>
      <c r="D20">
        <v>0</v>
      </c>
      <c r="E20">
        <v>3555</v>
      </c>
      <c r="F20">
        <v>0</v>
      </c>
      <c r="G20">
        <v>0</v>
      </c>
      <c r="H20">
        <v>1339</v>
      </c>
      <c r="I20">
        <v>0</v>
      </c>
      <c r="J20">
        <v>0</v>
      </c>
      <c r="K20">
        <v>390</v>
      </c>
      <c r="L20">
        <v>0</v>
      </c>
      <c r="M20">
        <v>0</v>
      </c>
    </row>
    <row r="21" spans="1:13">
      <c r="A21" s="12">
        <v>46199</v>
      </c>
      <c r="B21">
        <v>12166</v>
      </c>
      <c r="C21">
        <v>0</v>
      </c>
      <c r="D21">
        <v>0</v>
      </c>
      <c r="E21">
        <v>3670</v>
      </c>
      <c r="F21">
        <v>0</v>
      </c>
      <c r="G21">
        <v>0</v>
      </c>
      <c r="H21">
        <v>918</v>
      </c>
      <c r="I21">
        <v>0</v>
      </c>
      <c r="J21">
        <v>0</v>
      </c>
      <c r="K21">
        <v>420</v>
      </c>
      <c r="L21">
        <v>0</v>
      </c>
      <c r="M21">
        <v>0</v>
      </c>
    </row>
    <row r="22" spans="1:13">
      <c r="A22" s="12">
        <v>46200</v>
      </c>
      <c r="B22">
        <v>13579</v>
      </c>
      <c r="C22">
        <v>0</v>
      </c>
      <c r="D22">
        <v>0</v>
      </c>
      <c r="E22">
        <v>2563</v>
      </c>
      <c r="F22">
        <v>0</v>
      </c>
      <c r="G22">
        <v>0</v>
      </c>
      <c r="H22">
        <v>1006</v>
      </c>
      <c r="I22">
        <v>0</v>
      </c>
      <c r="J22">
        <v>0</v>
      </c>
      <c r="K22">
        <v>385</v>
      </c>
      <c r="L22">
        <v>0</v>
      </c>
      <c r="M22">
        <v>0</v>
      </c>
    </row>
    <row r="23" spans="1:13">
      <c r="A23" s="12">
        <v>46201</v>
      </c>
    </row>
    <row r="24" spans="1:13">
      <c r="A24" s="12">
        <v>46202</v>
      </c>
      <c r="B24">
        <v>10529</v>
      </c>
      <c r="C24">
        <v>0</v>
      </c>
      <c r="D24">
        <v>0</v>
      </c>
      <c r="E24">
        <v>3443</v>
      </c>
      <c r="F24">
        <v>0</v>
      </c>
      <c r="G24">
        <v>0</v>
      </c>
      <c r="H24">
        <v>930</v>
      </c>
      <c r="I24">
        <v>0</v>
      </c>
      <c r="J24">
        <v>0</v>
      </c>
      <c r="K24">
        <v>404</v>
      </c>
      <c r="L24">
        <v>0</v>
      </c>
      <c r="M24">
        <v>0</v>
      </c>
    </row>
    <row r="25" spans="1:13">
      <c r="A25" s="12">
        <v>46203</v>
      </c>
      <c r="B25">
        <v>12835</v>
      </c>
      <c r="C25">
        <v>0</v>
      </c>
      <c r="D25">
        <v>0</v>
      </c>
      <c r="E25">
        <v>3586</v>
      </c>
      <c r="F25">
        <v>0</v>
      </c>
      <c r="G25">
        <v>0</v>
      </c>
      <c r="H25">
        <v>1040</v>
      </c>
      <c r="I25">
        <v>0</v>
      </c>
      <c r="J25">
        <v>0</v>
      </c>
      <c r="K25">
        <v>408</v>
      </c>
      <c r="L25">
        <v>0</v>
      </c>
      <c r="M25">
        <v>0</v>
      </c>
    </row>
    <row r="26" spans="1:13">
      <c r="A26" s="12">
        <v>46204</v>
      </c>
    </row>
    <row r="27" spans="1:13">
      <c r="A27" s="12">
        <v>46205</v>
      </c>
      <c r="B27">
        <v>11537</v>
      </c>
      <c r="C27">
        <v>0</v>
      </c>
      <c r="D27">
        <v>0</v>
      </c>
      <c r="E27">
        <v>4093</v>
      </c>
      <c r="F27">
        <v>0</v>
      </c>
      <c r="G27">
        <v>0</v>
      </c>
      <c r="H27">
        <v>1132</v>
      </c>
      <c r="I27">
        <v>0</v>
      </c>
      <c r="J27">
        <v>0</v>
      </c>
      <c r="K27">
        <v>441</v>
      </c>
      <c r="L27">
        <v>0</v>
      </c>
      <c r="M27">
        <v>0</v>
      </c>
    </row>
    <row r="28" spans="1:13">
      <c r="A28" s="12">
        <v>46206</v>
      </c>
    </row>
    <row r="29" spans="1:13">
      <c r="A29" s="12">
        <v>46207</v>
      </c>
    </row>
    <row r="30" spans="1:13">
      <c r="A30" s="12">
        <v>46208</v>
      </c>
      <c r="B30">
        <v>13009</v>
      </c>
      <c r="C30">
        <v>0</v>
      </c>
      <c r="D30">
        <v>0</v>
      </c>
      <c r="E30">
        <v>3662</v>
      </c>
      <c r="F30">
        <v>0</v>
      </c>
      <c r="G30">
        <v>0</v>
      </c>
      <c r="H30">
        <v>1860</v>
      </c>
      <c r="I30">
        <v>0</v>
      </c>
      <c r="J30">
        <v>0</v>
      </c>
      <c r="K30">
        <v>460</v>
      </c>
      <c r="L30">
        <v>0</v>
      </c>
      <c r="M30">
        <v>0</v>
      </c>
    </row>
    <row r="31" spans="1:13">
      <c r="A31" s="12">
        <v>46209</v>
      </c>
      <c r="B31">
        <v>12584</v>
      </c>
      <c r="C31">
        <v>0</v>
      </c>
      <c r="D31">
        <v>0</v>
      </c>
      <c r="E31">
        <v>3053</v>
      </c>
      <c r="F31">
        <v>0</v>
      </c>
      <c r="G31">
        <v>0</v>
      </c>
      <c r="H31">
        <v>1860</v>
      </c>
      <c r="I31">
        <v>0</v>
      </c>
      <c r="J31">
        <v>0</v>
      </c>
      <c r="K31">
        <v>520</v>
      </c>
      <c r="L31">
        <v>0</v>
      </c>
      <c r="M31">
        <v>0</v>
      </c>
    </row>
    <row r="32" spans="1:13">
      <c r="A32" s="12">
        <v>46210</v>
      </c>
      <c r="B32">
        <v>10274</v>
      </c>
      <c r="C32">
        <v>0</v>
      </c>
      <c r="D32">
        <v>0</v>
      </c>
      <c r="E32">
        <v>6249</v>
      </c>
      <c r="F32">
        <v>0</v>
      </c>
      <c r="G32">
        <v>0</v>
      </c>
      <c r="H32">
        <v>1386</v>
      </c>
      <c r="I32">
        <v>0</v>
      </c>
      <c r="J32">
        <v>0</v>
      </c>
      <c r="K32">
        <v>400</v>
      </c>
      <c r="L32">
        <v>0</v>
      </c>
      <c r="M32">
        <v>0</v>
      </c>
    </row>
    <row r="33" spans="1:13">
      <c r="A33" s="12">
        <v>46211</v>
      </c>
      <c r="B33">
        <v>12793</v>
      </c>
      <c r="C33">
        <v>0</v>
      </c>
      <c r="D33">
        <v>0</v>
      </c>
      <c r="E33">
        <v>10109</v>
      </c>
      <c r="F33">
        <v>0</v>
      </c>
      <c r="G33">
        <v>0</v>
      </c>
      <c r="H33">
        <v>1332</v>
      </c>
      <c r="I33">
        <v>0</v>
      </c>
      <c r="J33">
        <v>0</v>
      </c>
      <c r="K33">
        <v>410</v>
      </c>
      <c r="L33">
        <v>0</v>
      </c>
      <c r="M33">
        <v>0</v>
      </c>
    </row>
    <row r="34" spans="1:13">
      <c r="A34" s="12">
        <v>46212</v>
      </c>
      <c r="B34">
        <v>10771</v>
      </c>
      <c r="C34">
        <v>0</v>
      </c>
      <c r="D34">
        <v>0</v>
      </c>
      <c r="E34">
        <v>4175</v>
      </c>
      <c r="F34">
        <v>0</v>
      </c>
      <c r="G34">
        <v>0</v>
      </c>
      <c r="H34">
        <v>1240</v>
      </c>
      <c r="I34">
        <v>0</v>
      </c>
      <c r="J34">
        <v>0</v>
      </c>
      <c r="K34">
        <v>380</v>
      </c>
      <c r="L34">
        <v>0</v>
      </c>
      <c r="M34">
        <v>0</v>
      </c>
    </row>
    <row r="35" spans="1:13">
      <c r="A35" s="12">
        <v>46213</v>
      </c>
    </row>
    <row r="36" spans="1:13">
      <c r="A36" s="12">
        <v>46214</v>
      </c>
    </row>
    <row r="37" spans="1:13">
      <c r="A37" s="12">
        <v>46215</v>
      </c>
      <c r="B37">
        <v>12134</v>
      </c>
      <c r="C37">
        <v>0</v>
      </c>
      <c r="D37">
        <v>0</v>
      </c>
      <c r="E37">
        <v>11143</v>
      </c>
      <c r="F37">
        <v>0</v>
      </c>
      <c r="G37">
        <v>0</v>
      </c>
      <c r="H37">
        <v>878</v>
      </c>
      <c r="I37">
        <v>0</v>
      </c>
      <c r="J37">
        <v>0</v>
      </c>
      <c r="K37">
        <v>463</v>
      </c>
      <c r="L37">
        <v>0</v>
      </c>
      <c r="M37">
        <v>0</v>
      </c>
    </row>
    <row r="38" spans="1:13">
      <c r="A38" s="12">
        <v>46216</v>
      </c>
    </row>
    <row r="39" spans="1:13">
      <c r="A39" s="12">
        <v>46217</v>
      </c>
      <c r="B39">
        <v>11188</v>
      </c>
      <c r="C39">
        <v>0</v>
      </c>
      <c r="D39">
        <v>0</v>
      </c>
      <c r="E39">
        <v>3366</v>
      </c>
      <c r="F39">
        <v>0</v>
      </c>
      <c r="G39">
        <v>0</v>
      </c>
      <c r="H39">
        <v>1160</v>
      </c>
      <c r="I39">
        <v>0</v>
      </c>
      <c r="J39">
        <v>0</v>
      </c>
      <c r="K39">
        <v>564</v>
      </c>
      <c r="L39">
        <v>0</v>
      </c>
      <c r="M39">
        <v>0</v>
      </c>
    </row>
    <row r="40" spans="1:13">
      <c r="A40" s="12">
        <v>46218</v>
      </c>
      <c r="B40">
        <v>12295</v>
      </c>
      <c r="C40">
        <v>0</v>
      </c>
      <c r="D40">
        <v>0</v>
      </c>
      <c r="E40">
        <v>4164</v>
      </c>
      <c r="F40">
        <v>0</v>
      </c>
      <c r="G40">
        <v>0</v>
      </c>
      <c r="H40">
        <v>1120</v>
      </c>
      <c r="I40">
        <v>0</v>
      </c>
      <c r="J40">
        <v>0</v>
      </c>
      <c r="K40">
        <v>593</v>
      </c>
      <c r="L40">
        <v>0</v>
      </c>
      <c r="M40">
        <v>0</v>
      </c>
    </row>
    <row r="41" spans="1:13">
      <c r="A41" s="12">
        <v>46219</v>
      </c>
      <c r="B41">
        <v>11480</v>
      </c>
      <c r="C41">
        <v>0</v>
      </c>
      <c r="D41">
        <v>0</v>
      </c>
      <c r="E41">
        <v>3773</v>
      </c>
      <c r="F41">
        <v>0</v>
      </c>
      <c r="G41">
        <v>0</v>
      </c>
      <c r="H41">
        <v>1420</v>
      </c>
      <c r="I41">
        <v>0</v>
      </c>
      <c r="J41">
        <v>0</v>
      </c>
      <c r="K41">
        <v>559</v>
      </c>
      <c r="L41">
        <v>0</v>
      </c>
      <c r="M41">
        <v>0</v>
      </c>
    </row>
    <row r="42" spans="1:13">
      <c r="A42" s="12">
        <v>46220</v>
      </c>
      <c r="B42">
        <v>12318</v>
      </c>
      <c r="C42">
        <v>0</v>
      </c>
      <c r="D42">
        <v>0</v>
      </c>
      <c r="E42">
        <v>5196</v>
      </c>
      <c r="F42">
        <v>0</v>
      </c>
      <c r="G42">
        <v>0</v>
      </c>
      <c r="H42">
        <v>1452</v>
      </c>
      <c r="I42">
        <v>2</v>
      </c>
      <c r="J42">
        <v>2</v>
      </c>
      <c r="K42">
        <v>561</v>
      </c>
      <c r="L42">
        <v>0</v>
      </c>
      <c r="M42">
        <v>0</v>
      </c>
    </row>
    <row r="43" spans="1:13">
      <c r="A43" s="12">
        <v>46221</v>
      </c>
      <c r="B43">
        <v>10687</v>
      </c>
      <c r="C43">
        <v>0</v>
      </c>
      <c r="D43">
        <v>0</v>
      </c>
      <c r="E43">
        <v>6459</v>
      </c>
      <c r="F43">
        <v>0</v>
      </c>
      <c r="G43">
        <v>0</v>
      </c>
      <c r="H43">
        <v>704</v>
      </c>
      <c r="I43">
        <v>0</v>
      </c>
      <c r="J43">
        <v>0</v>
      </c>
      <c r="K43">
        <v>575</v>
      </c>
      <c r="L43">
        <v>0</v>
      </c>
      <c r="M43">
        <v>0</v>
      </c>
    </row>
    <row r="44" spans="1:13">
      <c r="A44" s="12">
        <v>46222</v>
      </c>
      <c r="B44">
        <v>11983</v>
      </c>
      <c r="C44">
        <v>0</v>
      </c>
      <c r="D44">
        <v>0</v>
      </c>
      <c r="E44">
        <v>3483</v>
      </c>
      <c r="F44">
        <v>0</v>
      </c>
      <c r="G44">
        <v>0</v>
      </c>
      <c r="H44">
        <v>1247</v>
      </c>
      <c r="I44">
        <v>0</v>
      </c>
      <c r="J44">
        <v>0</v>
      </c>
      <c r="K44">
        <v>570</v>
      </c>
      <c r="L44">
        <v>0</v>
      </c>
      <c r="M44">
        <v>0</v>
      </c>
    </row>
    <row r="45" spans="1:13">
      <c r="A45" s="12">
        <v>46223</v>
      </c>
      <c r="B45">
        <v>13704</v>
      </c>
      <c r="C45">
        <v>1</v>
      </c>
      <c r="D45">
        <v>0</v>
      </c>
      <c r="E45">
        <v>3011</v>
      </c>
      <c r="F45">
        <v>0</v>
      </c>
      <c r="G45">
        <v>0</v>
      </c>
      <c r="H45">
        <v>1378</v>
      </c>
      <c r="I45">
        <v>0</v>
      </c>
      <c r="J45">
        <v>0</v>
      </c>
      <c r="K45">
        <v>435</v>
      </c>
      <c r="L45">
        <v>0</v>
      </c>
      <c r="M45">
        <v>0</v>
      </c>
    </row>
    <row r="46" spans="1:13">
      <c r="A46" s="12">
        <v>46224</v>
      </c>
      <c r="B46">
        <v>12375</v>
      </c>
      <c r="C46">
        <v>0</v>
      </c>
      <c r="D46">
        <v>0</v>
      </c>
      <c r="E46">
        <v>3684</v>
      </c>
      <c r="F46">
        <v>0</v>
      </c>
      <c r="G46">
        <v>0</v>
      </c>
      <c r="H46">
        <v>1400</v>
      </c>
      <c r="I46">
        <v>0</v>
      </c>
      <c r="J46">
        <v>0</v>
      </c>
      <c r="K46">
        <v>355</v>
      </c>
      <c r="L46">
        <v>0</v>
      </c>
      <c r="M46">
        <v>0</v>
      </c>
    </row>
    <row r="47" spans="1:13">
      <c r="A47" s="12">
        <v>46225</v>
      </c>
      <c r="B47">
        <v>12938</v>
      </c>
      <c r="C47">
        <v>0</v>
      </c>
      <c r="D47">
        <v>0</v>
      </c>
      <c r="E47">
        <v>4416</v>
      </c>
      <c r="F47">
        <v>0</v>
      </c>
      <c r="G47">
        <v>0</v>
      </c>
      <c r="H47">
        <v>1439</v>
      </c>
      <c r="I47">
        <v>0</v>
      </c>
      <c r="J47">
        <v>0</v>
      </c>
      <c r="K47">
        <v>350</v>
      </c>
      <c r="L47">
        <v>0</v>
      </c>
      <c r="M47">
        <v>0</v>
      </c>
    </row>
    <row r="48" spans="1:13">
      <c r="A48" s="12">
        <v>46226</v>
      </c>
      <c r="B48">
        <v>12422</v>
      </c>
      <c r="C48">
        <v>0</v>
      </c>
      <c r="D48">
        <v>0</v>
      </c>
      <c r="E48">
        <v>4974</v>
      </c>
      <c r="F48">
        <v>0</v>
      </c>
      <c r="G48">
        <v>0</v>
      </c>
      <c r="H48">
        <v>1424</v>
      </c>
      <c r="I48">
        <v>0</v>
      </c>
      <c r="J48">
        <v>0</v>
      </c>
      <c r="K48">
        <v>395</v>
      </c>
      <c r="L48">
        <v>0</v>
      </c>
      <c r="M48">
        <v>0</v>
      </c>
    </row>
    <row r="49" spans="1:13">
      <c r="A49" s="12">
        <v>46227</v>
      </c>
      <c r="B49">
        <v>13178</v>
      </c>
      <c r="C49">
        <v>0</v>
      </c>
      <c r="D49">
        <v>0</v>
      </c>
      <c r="E49">
        <v>3502</v>
      </c>
      <c r="F49">
        <v>0</v>
      </c>
      <c r="G49">
        <v>0</v>
      </c>
      <c r="H49">
        <v>1261</v>
      </c>
      <c r="I49">
        <v>0</v>
      </c>
      <c r="J49">
        <v>0</v>
      </c>
      <c r="K49">
        <v>511</v>
      </c>
      <c r="L49">
        <v>0</v>
      </c>
      <c r="M49">
        <v>0</v>
      </c>
    </row>
    <row r="50" spans="1:13">
      <c r="A50" s="12">
        <v>46228</v>
      </c>
      <c r="B50">
        <v>12519</v>
      </c>
      <c r="C50">
        <v>0</v>
      </c>
      <c r="D50">
        <v>0</v>
      </c>
      <c r="E50">
        <v>4085</v>
      </c>
      <c r="F50">
        <v>0</v>
      </c>
      <c r="G50">
        <v>0</v>
      </c>
      <c r="H50">
        <v>1023</v>
      </c>
      <c r="I50">
        <v>0</v>
      </c>
      <c r="J50">
        <v>0</v>
      </c>
      <c r="K50">
        <v>400</v>
      </c>
      <c r="L50">
        <v>0</v>
      </c>
      <c r="M50">
        <v>0</v>
      </c>
    </row>
    <row r="51" spans="1:13">
      <c r="A51" s="12">
        <v>46229</v>
      </c>
      <c r="B51">
        <v>10923</v>
      </c>
      <c r="C51">
        <v>0</v>
      </c>
      <c r="D51">
        <v>0</v>
      </c>
      <c r="E51">
        <v>4762</v>
      </c>
      <c r="F51">
        <v>0</v>
      </c>
      <c r="G51">
        <v>0</v>
      </c>
      <c r="H51">
        <v>1135</v>
      </c>
      <c r="I51">
        <v>0</v>
      </c>
      <c r="J51">
        <v>0</v>
      </c>
      <c r="K51">
        <v>370</v>
      </c>
      <c r="L51">
        <v>0</v>
      </c>
      <c r="M51">
        <v>0</v>
      </c>
    </row>
    <row r="52" spans="1:13">
      <c r="A52" s="12">
        <v>46230</v>
      </c>
      <c r="B52">
        <v>11689</v>
      </c>
      <c r="C52">
        <v>0</v>
      </c>
      <c r="D52">
        <v>0</v>
      </c>
      <c r="E52">
        <v>4453</v>
      </c>
      <c r="F52">
        <v>0</v>
      </c>
      <c r="G52">
        <v>0</v>
      </c>
      <c r="H52">
        <v>1413</v>
      </c>
      <c r="I52">
        <v>0</v>
      </c>
      <c r="J52">
        <v>0</v>
      </c>
      <c r="K52">
        <v>547</v>
      </c>
      <c r="L52">
        <v>0</v>
      </c>
      <c r="M52">
        <v>0</v>
      </c>
    </row>
    <row r="53" spans="1:13">
      <c r="A53" s="12">
        <v>46231</v>
      </c>
      <c r="B53">
        <v>12201</v>
      </c>
      <c r="C53">
        <v>0</v>
      </c>
      <c r="D53">
        <v>0</v>
      </c>
      <c r="E53">
        <v>3821</v>
      </c>
      <c r="F53">
        <v>0</v>
      </c>
      <c r="G53">
        <v>0</v>
      </c>
      <c r="H53">
        <v>1077</v>
      </c>
      <c r="I53">
        <v>0</v>
      </c>
      <c r="J53">
        <v>0</v>
      </c>
      <c r="K53">
        <v>533</v>
      </c>
      <c r="L53">
        <v>0</v>
      </c>
      <c r="M53">
        <v>0</v>
      </c>
    </row>
    <row r="54" spans="1:13">
      <c r="A54" s="12">
        <v>46232</v>
      </c>
    </row>
    <row r="55" spans="1:13">
      <c r="A55" s="12">
        <v>46233</v>
      </c>
      <c r="B55">
        <v>10787</v>
      </c>
      <c r="C55">
        <v>0</v>
      </c>
      <c r="D55">
        <v>0</v>
      </c>
      <c r="E55">
        <v>5999</v>
      </c>
      <c r="F55">
        <v>0</v>
      </c>
      <c r="G55">
        <v>0</v>
      </c>
      <c r="H55">
        <v>1321</v>
      </c>
      <c r="I55">
        <v>0</v>
      </c>
      <c r="J55">
        <v>0</v>
      </c>
      <c r="K55">
        <v>515</v>
      </c>
      <c r="L55">
        <v>0</v>
      </c>
      <c r="M55">
        <v>0</v>
      </c>
    </row>
    <row r="56" spans="1:13">
      <c r="A56" s="12">
        <v>46234</v>
      </c>
      <c r="B56">
        <v>12321</v>
      </c>
      <c r="C56">
        <v>0</v>
      </c>
      <c r="D56">
        <v>0</v>
      </c>
      <c r="E56">
        <v>6425</v>
      </c>
      <c r="F56">
        <v>0</v>
      </c>
      <c r="G56">
        <v>0</v>
      </c>
      <c r="H56">
        <v>961</v>
      </c>
      <c r="I56">
        <v>0</v>
      </c>
      <c r="J56">
        <v>0</v>
      </c>
      <c r="K56">
        <v>604</v>
      </c>
      <c r="L56">
        <v>0</v>
      </c>
      <c r="M56">
        <v>0</v>
      </c>
    </row>
    <row r="57" spans="1:13">
      <c r="A57" s="12">
        <v>46236</v>
      </c>
      <c r="B57">
        <v>11928</v>
      </c>
      <c r="C57">
        <v>0</v>
      </c>
      <c r="D57">
        <v>0</v>
      </c>
      <c r="E57">
        <v>8105</v>
      </c>
      <c r="F57">
        <v>0</v>
      </c>
      <c r="G57">
        <v>0</v>
      </c>
      <c r="H57">
        <v>1396</v>
      </c>
      <c r="I57">
        <v>0</v>
      </c>
      <c r="J57">
        <v>0</v>
      </c>
      <c r="K57">
        <v>433</v>
      </c>
      <c r="L57">
        <v>0</v>
      </c>
      <c r="M57">
        <v>0</v>
      </c>
    </row>
    <row r="58" spans="1:13">
      <c r="A58" s="12">
        <v>46237</v>
      </c>
      <c r="B58">
        <v>11764</v>
      </c>
      <c r="C58">
        <v>0</v>
      </c>
      <c r="D58">
        <v>0</v>
      </c>
      <c r="E58">
        <v>4565</v>
      </c>
      <c r="F58">
        <v>0</v>
      </c>
      <c r="G58">
        <v>0</v>
      </c>
      <c r="H58">
        <v>1312</v>
      </c>
      <c r="I58">
        <v>0</v>
      </c>
      <c r="J58">
        <v>0</v>
      </c>
      <c r="K58">
        <v>440</v>
      </c>
      <c r="L58">
        <v>0</v>
      </c>
      <c r="M58">
        <v>0</v>
      </c>
    </row>
    <row r="59" spans="1:13">
      <c r="A59" s="12">
        <v>46238</v>
      </c>
      <c r="B59">
        <v>12049</v>
      </c>
      <c r="C59">
        <v>0</v>
      </c>
      <c r="D59">
        <v>0</v>
      </c>
      <c r="E59">
        <v>3376</v>
      </c>
      <c r="F59">
        <v>0</v>
      </c>
      <c r="G59">
        <v>0</v>
      </c>
      <c r="H59">
        <v>1270</v>
      </c>
      <c r="I59">
        <v>0</v>
      </c>
      <c r="J59">
        <v>0</v>
      </c>
      <c r="K59">
        <v>440</v>
      </c>
      <c r="L59">
        <v>0</v>
      </c>
      <c r="M59">
        <v>0</v>
      </c>
    </row>
    <row r="60" spans="1:13">
      <c r="A60" s="12">
        <v>46239</v>
      </c>
      <c r="B60">
        <v>14069</v>
      </c>
      <c r="C60">
        <v>0</v>
      </c>
      <c r="D60">
        <v>0</v>
      </c>
      <c r="E60">
        <v>3814</v>
      </c>
      <c r="F60">
        <v>0</v>
      </c>
      <c r="G60">
        <v>0</v>
      </c>
      <c r="H60">
        <v>1283</v>
      </c>
      <c r="I60">
        <v>0</v>
      </c>
      <c r="J60">
        <v>0</v>
      </c>
      <c r="K60">
        <v>415</v>
      </c>
      <c r="L60">
        <v>0</v>
      </c>
      <c r="M60">
        <v>0</v>
      </c>
    </row>
    <row r="61" spans="1:13">
      <c r="A61" s="12">
        <v>46240</v>
      </c>
      <c r="B61">
        <v>13026</v>
      </c>
      <c r="C61">
        <v>0</v>
      </c>
      <c r="D61">
        <v>0</v>
      </c>
      <c r="E61">
        <v>4326</v>
      </c>
      <c r="F61">
        <v>0</v>
      </c>
      <c r="G61">
        <v>0</v>
      </c>
      <c r="H61">
        <v>1346</v>
      </c>
      <c r="I61">
        <v>0</v>
      </c>
      <c r="J61">
        <v>0</v>
      </c>
      <c r="K61">
        <v>380</v>
      </c>
      <c r="L61">
        <v>0</v>
      </c>
      <c r="M61">
        <v>0</v>
      </c>
    </row>
    <row r="62" spans="1:13">
      <c r="A62" s="12">
        <v>46241</v>
      </c>
      <c r="B62">
        <v>12729</v>
      </c>
      <c r="C62">
        <v>0</v>
      </c>
      <c r="D62">
        <v>0</v>
      </c>
      <c r="E62">
        <v>3788</v>
      </c>
      <c r="F62">
        <v>0</v>
      </c>
      <c r="G62">
        <v>0</v>
      </c>
      <c r="H62">
        <v>1120</v>
      </c>
      <c r="I62">
        <v>0</v>
      </c>
      <c r="J62">
        <v>0</v>
      </c>
      <c r="K62">
        <v>500</v>
      </c>
      <c r="L62">
        <v>0</v>
      </c>
      <c r="M62">
        <v>0</v>
      </c>
    </row>
    <row r="63" spans="1:13">
      <c r="A63" s="12">
        <v>46242</v>
      </c>
      <c r="B63">
        <v>11896</v>
      </c>
      <c r="C63">
        <v>0</v>
      </c>
      <c r="D63">
        <v>0</v>
      </c>
      <c r="E63">
        <v>5440</v>
      </c>
      <c r="F63">
        <v>0</v>
      </c>
      <c r="G63">
        <v>0</v>
      </c>
      <c r="H63">
        <v>1427</v>
      </c>
      <c r="I63">
        <v>0</v>
      </c>
      <c r="J63">
        <v>0</v>
      </c>
      <c r="K63">
        <v>370</v>
      </c>
      <c r="L63">
        <v>0</v>
      </c>
      <c r="M63">
        <v>0</v>
      </c>
    </row>
    <row r="64" spans="1:13">
      <c r="A64" s="12">
        <v>46243</v>
      </c>
      <c r="B64">
        <v>13114</v>
      </c>
      <c r="C64">
        <v>0</v>
      </c>
      <c r="D64">
        <v>0</v>
      </c>
      <c r="E64">
        <v>4809</v>
      </c>
      <c r="F64">
        <v>0</v>
      </c>
      <c r="G64">
        <v>0</v>
      </c>
      <c r="H64">
        <v>1209</v>
      </c>
      <c r="I64">
        <v>0</v>
      </c>
      <c r="J64">
        <v>0</v>
      </c>
      <c r="K64">
        <v>450</v>
      </c>
      <c r="L64">
        <v>0</v>
      </c>
      <c r="M64">
        <v>0</v>
      </c>
    </row>
    <row r="65" spans="1:13">
      <c r="A65" s="12">
        <v>46244</v>
      </c>
      <c r="B65">
        <v>13154</v>
      </c>
      <c r="C65">
        <v>0</v>
      </c>
      <c r="D65">
        <v>0</v>
      </c>
      <c r="E65">
        <v>4381</v>
      </c>
      <c r="F65">
        <v>0</v>
      </c>
      <c r="G65">
        <v>0</v>
      </c>
      <c r="H65">
        <v>1143</v>
      </c>
      <c r="I65">
        <v>0</v>
      </c>
      <c r="J65">
        <v>0</v>
      </c>
      <c r="K65">
        <v>546</v>
      </c>
      <c r="L65">
        <v>0</v>
      </c>
      <c r="M65">
        <v>0</v>
      </c>
    </row>
    <row r="66" spans="1:13">
      <c r="A66" s="12">
        <v>46245</v>
      </c>
      <c r="B66">
        <v>13435</v>
      </c>
      <c r="C66">
        <v>0</v>
      </c>
      <c r="D66">
        <v>0</v>
      </c>
      <c r="E66">
        <v>4874</v>
      </c>
      <c r="F66">
        <v>0</v>
      </c>
      <c r="G66">
        <v>0</v>
      </c>
      <c r="H66">
        <v>1400</v>
      </c>
      <c r="I66">
        <v>0</v>
      </c>
      <c r="J66">
        <v>0</v>
      </c>
      <c r="K66">
        <v>539</v>
      </c>
      <c r="L66">
        <v>0</v>
      </c>
      <c r="M66">
        <v>0</v>
      </c>
    </row>
    <row r="67" spans="1:13">
      <c r="A67" s="12">
        <v>46246</v>
      </c>
      <c r="B67">
        <v>13826</v>
      </c>
      <c r="C67">
        <v>0</v>
      </c>
      <c r="D67">
        <v>0</v>
      </c>
      <c r="E67">
        <v>4791</v>
      </c>
      <c r="F67">
        <v>0</v>
      </c>
      <c r="G67">
        <v>0</v>
      </c>
      <c r="H67">
        <v>1296</v>
      </c>
      <c r="I67">
        <v>0</v>
      </c>
      <c r="J67">
        <v>0</v>
      </c>
      <c r="K67">
        <v>551</v>
      </c>
      <c r="L67">
        <v>0</v>
      </c>
      <c r="M67">
        <v>0</v>
      </c>
    </row>
    <row r="68" spans="1:13">
      <c r="A68" s="12">
        <v>46247</v>
      </c>
      <c r="B68">
        <v>12327</v>
      </c>
      <c r="C68">
        <v>0</v>
      </c>
      <c r="D68">
        <v>0</v>
      </c>
      <c r="E68">
        <v>4659</v>
      </c>
      <c r="F68">
        <v>0</v>
      </c>
      <c r="G68">
        <v>0</v>
      </c>
      <c r="H68">
        <v>1252</v>
      </c>
      <c r="I68">
        <v>0</v>
      </c>
      <c r="J68">
        <v>0</v>
      </c>
      <c r="K68">
        <v>516</v>
      </c>
      <c r="L68">
        <v>0</v>
      </c>
      <c r="M68">
        <v>0</v>
      </c>
    </row>
    <row r="69" spans="1:13">
      <c r="A69" s="12">
        <v>46248</v>
      </c>
      <c r="B69">
        <v>13302</v>
      </c>
      <c r="C69">
        <v>0</v>
      </c>
      <c r="D69">
        <v>0</v>
      </c>
      <c r="E69">
        <v>5316</v>
      </c>
      <c r="F69">
        <v>0</v>
      </c>
      <c r="G69">
        <v>0</v>
      </c>
      <c r="H69">
        <v>1382</v>
      </c>
      <c r="I69">
        <v>0</v>
      </c>
      <c r="J69">
        <v>0</v>
      </c>
      <c r="K69">
        <v>542</v>
      </c>
      <c r="L69">
        <v>0</v>
      </c>
      <c r="M69">
        <v>0</v>
      </c>
    </row>
    <row r="70" spans="1:13">
      <c r="A70" s="12">
        <v>46249</v>
      </c>
      <c r="B70">
        <v>13906</v>
      </c>
      <c r="C70">
        <v>0</v>
      </c>
      <c r="D70">
        <v>0</v>
      </c>
      <c r="E70">
        <v>7826</v>
      </c>
      <c r="F70">
        <v>0</v>
      </c>
      <c r="G70">
        <v>0</v>
      </c>
      <c r="H70">
        <v>1294</v>
      </c>
      <c r="I70">
        <v>0</v>
      </c>
      <c r="J70">
        <v>0</v>
      </c>
      <c r="K70">
        <v>433</v>
      </c>
      <c r="L70">
        <v>0</v>
      </c>
      <c r="M70">
        <v>0</v>
      </c>
    </row>
    <row r="71" spans="1:13">
      <c r="A71" s="12">
        <v>46250</v>
      </c>
      <c r="B71">
        <v>10303</v>
      </c>
      <c r="C71">
        <v>0</v>
      </c>
      <c r="D71">
        <v>0</v>
      </c>
      <c r="E71">
        <v>2724</v>
      </c>
      <c r="F71">
        <v>0</v>
      </c>
      <c r="G71">
        <v>0</v>
      </c>
      <c r="H71">
        <v>1282</v>
      </c>
      <c r="I71">
        <v>0</v>
      </c>
      <c r="J71">
        <v>0</v>
      </c>
      <c r="K71">
        <v>451</v>
      </c>
      <c r="L71">
        <v>0</v>
      </c>
      <c r="M71">
        <v>0</v>
      </c>
    </row>
    <row r="72" spans="1:13">
      <c r="A72" s="12">
        <v>46251</v>
      </c>
      <c r="B72">
        <v>12337</v>
      </c>
      <c r="C72">
        <v>0</v>
      </c>
      <c r="D72">
        <v>0</v>
      </c>
      <c r="E72">
        <v>3686</v>
      </c>
      <c r="F72">
        <v>0</v>
      </c>
      <c r="G72">
        <v>0</v>
      </c>
      <c r="H72">
        <v>1344</v>
      </c>
      <c r="I72">
        <v>0</v>
      </c>
      <c r="J72">
        <v>0</v>
      </c>
      <c r="K72">
        <v>515</v>
      </c>
      <c r="L72">
        <v>0</v>
      </c>
      <c r="M72">
        <v>0</v>
      </c>
    </row>
    <row r="73" spans="1:13">
      <c r="A73" s="12">
        <v>46252</v>
      </c>
      <c r="B73">
        <v>12122</v>
      </c>
      <c r="C73">
        <v>0</v>
      </c>
      <c r="D73">
        <v>0</v>
      </c>
      <c r="E73">
        <v>3337</v>
      </c>
      <c r="F73">
        <v>0</v>
      </c>
      <c r="G73">
        <v>0</v>
      </c>
      <c r="H73">
        <v>1372</v>
      </c>
      <c r="I73">
        <v>0</v>
      </c>
      <c r="J73">
        <v>0</v>
      </c>
      <c r="K73">
        <v>575</v>
      </c>
      <c r="L73">
        <v>0</v>
      </c>
      <c r="M73">
        <v>0</v>
      </c>
    </row>
    <row r="74" spans="1:13">
      <c r="A74" s="12">
        <v>46253</v>
      </c>
      <c r="B74">
        <v>11230</v>
      </c>
      <c r="C74">
        <v>0</v>
      </c>
      <c r="D74">
        <v>0</v>
      </c>
      <c r="E74">
        <v>3577</v>
      </c>
      <c r="F74">
        <v>0</v>
      </c>
      <c r="G74">
        <v>0</v>
      </c>
      <c r="H74">
        <v>1373</v>
      </c>
      <c r="I74">
        <v>0</v>
      </c>
      <c r="J74">
        <v>0</v>
      </c>
      <c r="K74">
        <v>650</v>
      </c>
      <c r="L74">
        <v>0</v>
      </c>
      <c r="M74">
        <v>0</v>
      </c>
    </row>
    <row r="75" spans="1:13">
      <c r="A75" s="12">
        <v>46254</v>
      </c>
      <c r="B75">
        <v>12405</v>
      </c>
      <c r="C75">
        <v>0</v>
      </c>
      <c r="D75">
        <v>0</v>
      </c>
      <c r="E75">
        <v>4147</v>
      </c>
      <c r="F75">
        <v>0</v>
      </c>
      <c r="G75">
        <v>0</v>
      </c>
      <c r="H75">
        <v>1418</v>
      </c>
      <c r="I75">
        <v>0</v>
      </c>
      <c r="J75">
        <v>0</v>
      </c>
      <c r="K75">
        <v>457</v>
      </c>
      <c r="L75">
        <v>0</v>
      </c>
      <c r="M75">
        <v>0</v>
      </c>
    </row>
    <row r="76" spans="1:13">
      <c r="A76" s="12">
        <v>46255</v>
      </c>
      <c r="B76">
        <v>11739</v>
      </c>
      <c r="C76">
        <v>0</v>
      </c>
      <c r="D76">
        <v>0</v>
      </c>
      <c r="E76">
        <v>5197</v>
      </c>
      <c r="F76">
        <v>0</v>
      </c>
      <c r="G76">
        <v>0</v>
      </c>
      <c r="H76">
        <v>1500</v>
      </c>
      <c r="I76">
        <v>0</v>
      </c>
      <c r="J76">
        <v>0</v>
      </c>
      <c r="K76">
        <v>448</v>
      </c>
      <c r="L76">
        <v>0</v>
      </c>
      <c r="M76">
        <v>0</v>
      </c>
    </row>
    <row r="77" spans="1:13">
      <c r="A77" s="12">
        <v>46256</v>
      </c>
      <c r="B77">
        <v>11824</v>
      </c>
      <c r="C77">
        <v>0</v>
      </c>
      <c r="D77">
        <v>0</v>
      </c>
      <c r="E77">
        <v>1053</v>
      </c>
      <c r="F77">
        <v>0</v>
      </c>
      <c r="G77">
        <v>0</v>
      </c>
      <c r="H77">
        <v>1609</v>
      </c>
      <c r="I77">
        <v>0</v>
      </c>
      <c r="J77">
        <v>0</v>
      </c>
      <c r="K77">
        <v>331</v>
      </c>
      <c r="L77">
        <v>0</v>
      </c>
      <c r="M77">
        <v>0</v>
      </c>
    </row>
    <row r="78" spans="1:13">
      <c r="A78" s="12">
        <v>46257</v>
      </c>
      <c r="B78">
        <v>11739</v>
      </c>
      <c r="C78">
        <v>0</v>
      </c>
      <c r="D78">
        <v>0</v>
      </c>
      <c r="E78">
        <v>5197</v>
      </c>
      <c r="F78">
        <v>0</v>
      </c>
      <c r="G78">
        <v>0</v>
      </c>
      <c r="H78">
        <v>1500</v>
      </c>
      <c r="I78">
        <v>0</v>
      </c>
      <c r="J78">
        <v>0</v>
      </c>
      <c r="K78">
        <v>448</v>
      </c>
      <c r="L78">
        <v>0</v>
      </c>
      <c r="M78">
        <v>0</v>
      </c>
    </row>
    <row r="79" spans="1:13">
      <c r="A79" s="12">
        <v>46258</v>
      </c>
      <c r="B79">
        <v>10789</v>
      </c>
      <c r="C79">
        <v>0</v>
      </c>
      <c r="D79">
        <v>0</v>
      </c>
      <c r="E79">
        <v>5361</v>
      </c>
      <c r="F79">
        <v>0</v>
      </c>
      <c r="G79">
        <v>0</v>
      </c>
      <c r="H79">
        <v>1928</v>
      </c>
      <c r="I79">
        <v>0</v>
      </c>
      <c r="J79">
        <v>0</v>
      </c>
      <c r="K79">
        <v>391</v>
      </c>
      <c r="L79">
        <v>0</v>
      </c>
      <c r="M79">
        <v>0</v>
      </c>
    </row>
    <row r="80" spans="1:13">
      <c r="A80" s="12">
        <v>46259</v>
      </c>
      <c r="B80">
        <v>11219</v>
      </c>
      <c r="C80">
        <v>0</v>
      </c>
      <c r="D80">
        <v>0</v>
      </c>
      <c r="E80">
        <v>4080</v>
      </c>
      <c r="F80">
        <v>0</v>
      </c>
      <c r="G80">
        <v>0</v>
      </c>
      <c r="H80">
        <v>1633</v>
      </c>
      <c r="I80">
        <v>0</v>
      </c>
      <c r="J80">
        <v>0</v>
      </c>
      <c r="K80">
        <v>576</v>
      </c>
      <c r="L80">
        <v>0</v>
      </c>
      <c r="M80">
        <v>0</v>
      </c>
    </row>
    <row r="81" spans="1:13">
      <c r="A81" s="12">
        <v>46260</v>
      </c>
      <c r="B81">
        <v>10773</v>
      </c>
      <c r="C81">
        <v>0</v>
      </c>
      <c r="D81">
        <v>0</v>
      </c>
      <c r="E81">
        <v>6851</v>
      </c>
      <c r="F81">
        <v>0</v>
      </c>
      <c r="G81">
        <v>0</v>
      </c>
      <c r="H81">
        <v>1782</v>
      </c>
      <c r="I81">
        <v>0</v>
      </c>
      <c r="J81">
        <v>0</v>
      </c>
      <c r="K81">
        <v>435</v>
      </c>
      <c r="L81">
        <v>0</v>
      </c>
      <c r="M81">
        <v>0</v>
      </c>
    </row>
    <row r="82" spans="1:13">
      <c r="A82" s="12">
        <v>46261</v>
      </c>
      <c r="B82">
        <v>10780</v>
      </c>
      <c r="C82">
        <v>0</v>
      </c>
      <c r="D82">
        <v>0</v>
      </c>
      <c r="E82">
        <v>6851</v>
      </c>
      <c r="F82">
        <v>0</v>
      </c>
      <c r="G82">
        <v>0</v>
      </c>
      <c r="H82">
        <v>1804</v>
      </c>
      <c r="I82">
        <v>0</v>
      </c>
      <c r="J82">
        <v>0</v>
      </c>
      <c r="K82">
        <v>492</v>
      </c>
      <c r="L82">
        <v>0</v>
      </c>
      <c r="M82">
        <v>0</v>
      </c>
    </row>
    <row r="83" spans="1:13">
      <c r="A83" s="12">
        <v>46262</v>
      </c>
      <c r="B83">
        <v>11451</v>
      </c>
      <c r="C83">
        <v>0</v>
      </c>
      <c r="D83">
        <v>0</v>
      </c>
      <c r="E83">
        <v>3250</v>
      </c>
      <c r="F83">
        <v>0</v>
      </c>
      <c r="G83">
        <v>0</v>
      </c>
      <c r="H83">
        <v>1752</v>
      </c>
      <c r="I83">
        <v>0</v>
      </c>
      <c r="J83">
        <v>0</v>
      </c>
      <c r="K83">
        <v>553</v>
      </c>
      <c r="L83">
        <v>0</v>
      </c>
      <c r="M83">
        <v>0</v>
      </c>
    </row>
    <row r="84" spans="1:13">
      <c r="A84" s="12">
        <v>46263</v>
      </c>
      <c r="B84">
        <v>11212</v>
      </c>
      <c r="C84">
        <v>0</v>
      </c>
      <c r="D84">
        <v>0</v>
      </c>
      <c r="E84">
        <v>3747</v>
      </c>
      <c r="F84">
        <v>0</v>
      </c>
      <c r="G84">
        <v>0</v>
      </c>
      <c r="H84">
        <v>2124</v>
      </c>
      <c r="I84">
        <v>0</v>
      </c>
      <c r="J84">
        <v>0</v>
      </c>
      <c r="K84">
        <v>471</v>
      </c>
      <c r="L84">
        <v>0</v>
      </c>
      <c r="M84">
        <v>0</v>
      </c>
    </row>
    <row r="85" spans="1:13">
      <c r="A85" s="12">
        <v>46264</v>
      </c>
      <c r="B85">
        <v>12133</v>
      </c>
      <c r="C85">
        <v>0</v>
      </c>
      <c r="D85">
        <v>0</v>
      </c>
      <c r="E85">
        <v>4990</v>
      </c>
      <c r="F85">
        <v>0</v>
      </c>
      <c r="G85">
        <v>0</v>
      </c>
      <c r="H85">
        <v>2124</v>
      </c>
      <c r="I85">
        <v>0</v>
      </c>
      <c r="J85">
        <v>0</v>
      </c>
      <c r="K85">
        <v>447</v>
      </c>
      <c r="L85">
        <v>0</v>
      </c>
      <c r="M85">
        <v>0</v>
      </c>
    </row>
    <row r="86" spans="1:13">
      <c r="A86" s="12">
        <v>46265</v>
      </c>
      <c r="B86">
        <v>11574</v>
      </c>
      <c r="C86">
        <v>0</v>
      </c>
      <c r="D86">
        <v>0</v>
      </c>
      <c r="E86">
        <v>3841</v>
      </c>
      <c r="F86">
        <v>0</v>
      </c>
      <c r="G86">
        <v>0</v>
      </c>
      <c r="H86">
        <v>1842</v>
      </c>
      <c r="I86">
        <v>0</v>
      </c>
      <c r="J86">
        <v>0</v>
      </c>
      <c r="K86">
        <v>605</v>
      </c>
      <c r="L86">
        <v>0</v>
      </c>
      <c r="M86">
        <v>0</v>
      </c>
    </row>
    <row r="87" spans="1:13">
      <c r="A87" s="12">
        <v>46266</v>
      </c>
      <c r="B87">
        <v>19058</v>
      </c>
      <c r="C87">
        <v>0</v>
      </c>
      <c r="D87">
        <v>0</v>
      </c>
      <c r="E87">
        <v>5295</v>
      </c>
      <c r="F87">
        <v>0</v>
      </c>
      <c r="G87">
        <v>0</v>
      </c>
      <c r="H87">
        <v>1875</v>
      </c>
      <c r="I87">
        <v>0</v>
      </c>
      <c r="J87">
        <v>0</v>
      </c>
      <c r="K87">
        <v>601</v>
      </c>
      <c r="L87">
        <v>0</v>
      </c>
      <c r="M87">
        <v>0</v>
      </c>
    </row>
    <row r="88" spans="1:13">
      <c r="A88" s="12">
        <v>46267</v>
      </c>
      <c r="B88">
        <v>19963</v>
      </c>
      <c r="C88">
        <v>0</v>
      </c>
      <c r="D88">
        <v>0</v>
      </c>
      <c r="E88">
        <v>4471</v>
      </c>
      <c r="F88">
        <v>0</v>
      </c>
      <c r="G88">
        <v>0</v>
      </c>
      <c r="H88">
        <v>1852</v>
      </c>
      <c r="I88">
        <v>0</v>
      </c>
      <c r="J88">
        <v>0</v>
      </c>
      <c r="K88">
        <v>675</v>
      </c>
      <c r="L88">
        <v>0</v>
      </c>
      <c r="M88">
        <v>0</v>
      </c>
    </row>
    <row r="89" spans="1:13">
      <c r="A89" s="12">
        <v>46268</v>
      </c>
      <c r="B89">
        <v>19630</v>
      </c>
      <c r="C89">
        <v>0</v>
      </c>
      <c r="D89">
        <v>0</v>
      </c>
      <c r="E89">
        <v>4527</v>
      </c>
      <c r="F89">
        <v>0</v>
      </c>
      <c r="G89">
        <v>0</v>
      </c>
      <c r="H89">
        <v>1756</v>
      </c>
      <c r="I89">
        <v>0</v>
      </c>
      <c r="J89">
        <v>0</v>
      </c>
      <c r="K89">
        <v>565</v>
      </c>
      <c r="L89">
        <v>0</v>
      </c>
      <c r="M89">
        <v>0</v>
      </c>
    </row>
    <row r="90" spans="1:13">
      <c r="A90" s="12">
        <v>46269</v>
      </c>
      <c r="B90">
        <v>20757</v>
      </c>
      <c r="C90">
        <v>0</v>
      </c>
      <c r="D90">
        <v>0</v>
      </c>
      <c r="E90">
        <v>4885</v>
      </c>
      <c r="F90">
        <v>0</v>
      </c>
      <c r="G90">
        <v>0</v>
      </c>
      <c r="H90">
        <v>1655</v>
      </c>
      <c r="I90">
        <v>0</v>
      </c>
      <c r="J90">
        <v>0</v>
      </c>
      <c r="K90">
        <v>530</v>
      </c>
      <c r="L90">
        <v>0</v>
      </c>
      <c r="M90">
        <v>0</v>
      </c>
    </row>
    <row r="91" spans="1:13">
      <c r="A91" s="12">
        <v>46270</v>
      </c>
      <c r="B91">
        <v>21761</v>
      </c>
      <c r="C91">
        <v>0</v>
      </c>
      <c r="D91">
        <v>0</v>
      </c>
      <c r="E91">
        <v>4046</v>
      </c>
      <c r="F91">
        <v>0</v>
      </c>
      <c r="G91">
        <v>0</v>
      </c>
      <c r="H91">
        <v>1641</v>
      </c>
      <c r="I91">
        <v>0</v>
      </c>
      <c r="J91">
        <v>0</v>
      </c>
      <c r="K91">
        <v>547</v>
      </c>
      <c r="L91">
        <v>0</v>
      </c>
      <c r="M91">
        <v>0</v>
      </c>
    </row>
    <row r="92" spans="1:13">
      <c r="A92" s="12">
        <v>46271</v>
      </c>
      <c r="B92">
        <v>18587</v>
      </c>
      <c r="C92">
        <v>0</v>
      </c>
      <c r="D92">
        <v>0</v>
      </c>
      <c r="E92">
        <v>3044</v>
      </c>
      <c r="F92">
        <v>0</v>
      </c>
      <c r="G92">
        <v>0</v>
      </c>
      <c r="H92">
        <v>1468</v>
      </c>
      <c r="I92">
        <v>0</v>
      </c>
      <c r="J92">
        <v>0</v>
      </c>
      <c r="K92">
        <v>570</v>
      </c>
      <c r="L92">
        <v>0</v>
      </c>
      <c r="M92">
        <v>0</v>
      </c>
    </row>
    <row r="93" spans="1:13">
      <c r="A93" s="12">
        <v>46272</v>
      </c>
      <c r="B93">
        <v>19368</v>
      </c>
      <c r="C93">
        <v>0</v>
      </c>
      <c r="D93">
        <v>0</v>
      </c>
      <c r="E93">
        <v>3457</v>
      </c>
      <c r="F93">
        <v>0</v>
      </c>
      <c r="G93">
        <v>0</v>
      </c>
      <c r="H93">
        <v>1500</v>
      </c>
      <c r="I93">
        <v>0</v>
      </c>
      <c r="J93">
        <v>0</v>
      </c>
      <c r="K93">
        <v>594</v>
      </c>
      <c r="L93">
        <v>0</v>
      </c>
      <c r="M93">
        <v>0</v>
      </c>
    </row>
    <row r="94" spans="1:13">
      <c r="A94" s="12">
        <v>46273</v>
      </c>
      <c r="B94">
        <v>20527</v>
      </c>
      <c r="C94">
        <v>0</v>
      </c>
      <c r="D94">
        <v>0</v>
      </c>
      <c r="E94">
        <v>4143</v>
      </c>
      <c r="F94">
        <v>0</v>
      </c>
      <c r="G94">
        <v>0</v>
      </c>
      <c r="H94">
        <v>1180</v>
      </c>
      <c r="I94">
        <v>0</v>
      </c>
      <c r="J94">
        <v>0</v>
      </c>
      <c r="K94">
        <v>571</v>
      </c>
      <c r="L94">
        <v>0</v>
      </c>
      <c r="M94">
        <v>0</v>
      </c>
    </row>
    <row r="95" spans="1:13">
      <c r="A95" s="12">
        <v>46274</v>
      </c>
      <c r="B95">
        <v>20506</v>
      </c>
      <c r="C95">
        <v>0</v>
      </c>
      <c r="D95">
        <v>0</v>
      </c>
      <c r="E95">
        <v>4916</v>
      </c>
      <c r="F95">
        <v>0</v>
      </c>
      <c r="G95">
        <v>0</v>
      </c>
      <c r="H95">
        <v>1336</v>
      </c>
      <c r="I95">
        <v>0</v>
      </c>
      <c r="J95">
        <v>0</v>
      </c>
      <c r="K95">
        <v>539</v>
      </c>
      <c r="L95">
        <v>0</v>
      </c>
      <c r="M95">
        <v>0</v>
      </c>
    </row>
    <row r="96" spans="1:13">
      <c r="A96" s="12">
        <v>46275</v>
      </c>
      <c r="B96">
        <v>18798</v>
      </c>
      <c r="C96">
        <v>0</v>
      </c>
      <c r="D96">
        <v>0</v>
      </c>
      <c r="E96">
        <v>3528</v>
      </c>
      <c r="F96">
        <v>0</v>
      </c>
      <c r="G96">
        <v>0</v>
      </c>
      <c r="H96">
        <v>1421</v>
      </c>
      <c r="I96">
        <v>0</v>
      </c>
      <c r="J96">
        <v>0</v>
      </c>
      <c r="K96">
        <v>538</v>
      </c>
      <c r="L96">
        <v>0</v>
      </c>
      <c r="M96">
        <v>0</v>
      </c>
    </row>
    <row r="97" spans="1:13">
      <c r="A97" s="12">
        <v>46276</v>
      </c>
      <c r="B97">
        <v>19632</v>
      </c>
      <c r="C97">
        <v>0</v>
      </c>
      <c r="D97">
        <v>0</v>
      </c>
      <c r="E97">
        <v>5041</v>
      </c>
      <c r="F97">
        <v>0</v>
      </c>
      <c r="G97">
        <v>0</v>
      </c>
      <c r="H97">
        <v>1222</v>
      </c>
      <c r="I97">
        <v>0</v>
      </c>
      <c r="J97">
        <v>0</v>
      </c>
      <c r="K97">
        <v>517</v>
      </c>
      <c r="L97">
        <v>0</v>
      </c>
      <c r="M97">
        <v>0</v>
      </c>
    </row>
    <row r="98" spans="1:13">
      <c r="A98" s="12">
        <v>46277</v>
      </c>
      <c r="B98">
        <v>20673</v>
      </c>
      <c r="C98">
        <v>0</v>
      </c>
      <c r="D98">
        <v>0</v>
      </c>
      <c r="E98">
        <v>2483</v>
      </c>
      <c r="F98">
        <v>0</v>
      </c>
      <c r="G98">
        <v>0</v>
      </c>
      <c r="H98">
        <v>1471</v>
      </c>
      <c r="I98">
        <v>0</v>
      </c>
      <c r="J98">
        <v>0</v>
      </c>
      <c r="K98">
        <v>562</v>
      </c>
      <c r="L98">
        <v>0</v>
      </c>
      <c r="M98">
        <v>0</v>
      </c>
    </row>
    <row r="99" spans="1:13">
      <c r="A99" s="12">
        <v>46278</v>
      </c>
      <c r="B99">
        <v>23466</v>
      </c>
      <c r="C99">
        <v>0</v>
      </c>
      <c r="D99">
        <v>0</v>
      </c>
      <c r="E99">
        <v>3854</v>
      </c>
      <c r="F99">
        <v>0</v>
      </c>
      <c r="G99">
        <v>0</v>
      </c>
      <c r="H99">
        <v>1212</v>
      </c>
      <c r="I99">
        <v>0</v>
      </c>
      <c r="J99">
        <v>0</v>
      </c>
      <c r="K99">
        <v>479</v>
      </c>
      <c r="L99">
        <v>0</v>
      </c>
      <c r="M99">
        <v>0</v>
      </c>
    </row>
    <row r="100" spans="1:13">
      <c r="A100" s="12">
        <v>46279</v>
      </c>
      <c r="B100">
        <v>23475</v>
      </c>
      <c r="C100">
        <v>0</v>
      </c>
      <c r="D100">
        <v>0</v>
      </c>
      <c r="E100">
        <v>4522</v>
      </c>
      <c r="F100">
        <v>0</v>
      </c>
      <c r="G100">
        <v>0</v>
      </c>
      <c r="H100">
        <v>1922</v>
      </c>
      <c r="I100">
        <v>0</v>
      </c>
      <c r="J100">
        <v>0</v>
      </c>
      <c r="K100">
        <v>595</v>
      </c>
      <c r="L100">
        <v>0</v>
      </c>
      <c r="M100">
        <v>0</v>
      </c>
    </row>
    <row r="101" spans="1:13">
      <c r="A101" s="12">
        <v>46280</v>
      </c>
      <c r="B101">
        <v>20469</v>
      </c>
      <c r="C101">
        <v>0</v>
      </c>
      <c r="D101">
        <v>0</v>
      </c>
      <c r="E101">
        <v>3795</v>
      </c>
      <c r="F101">
        <v>0</v>
      </c>
      <c r="G101">
        <v>0</v>
      </c>
      <c r="H101">
        <v>1228</v>
      </c>
      <c r="I101">
        <v>0</v>
      </c>
      <c r="J101">
        <v>0</v>
      </c>
      <c r="K101">
        <v>575</v>
      </c>
      <c r="L101">
        <v>0</v>
      </c>
      <c r="M101">
        <v>0</v>
      </c>
    </row>
    <row r="102" spans="1:13">
      <c r="A102" s="12">
        <v>46281</v>
      </c>
      <c r="B102">
        <v>19851</v>
      </c>
      <c r="C102">
        <v>0</v>
      </c>
      <c r="D102">
        <v>0</v>
      </c>
      <c r="E102">
        <v>5520</v>
      </c>
      <c r="F102">
        <v>0</v>
      </c>
      <c r="G102">
        <v>0</v>
      </c>
      <c r="H102">
        <v>1330</v>
      </c>
      <c r="I102">
        <v>0</v>
      </c>
      <c r="J102">
        <v>0</v>
      </c>
      <c r="K102">
        <v>467</v>
      </c>
      <c r="L102">
        <v>0</v>
      </c>
      <c r="M102">
        <v>0</v>
      </c>
    </row>
    <row r="103" spans="1:13">
      <c r="A103" s="12">
        <v>46282</v>
      </c>
      <c r="B103">
        <v>20026</v>
      </c>
      <c r="C103">
        <v>0</v>
      </c>
      <c r="D103">
        <v>0</v>
      </c>
      <c r="E103">
        <v>4110</v>
      </c>
      <c r="F103">
        <v>0</v>
      </c>
      <c r="G103">
        <v>0</v>
      </c>
      <c r="H103">
        <v>1342</v>
      </c>
      <c r="I103">
        <v>0</v>
      </c>
      <c r="J103">
        <v>0</v>
      </c>
      <c r="K103">
        <v>580</v>
      </c>
      <c r="L103">
        <v>0</v>
      </c>
      <c r="M103">
        <v>0</v>
      </c>
    </row>
    <row r="104" spans="1:13">
      <c r="A104" s="12">
        <v>46283</v>
      </c>
      <c r="B104">
        <v>22603</v>
      </c>
      <c r="C104">
        <v>0</v>
      </c>
      <c r="D104">
        <v>0</v>
      </c>
      <c r="E104">
        <v>4475</v>
      </c>
      <c r="F104">
        <v>0</v>
      </c>
      <c r="G104">
        <v>0</v>
      </c>
      <c r="H104">
        <v>1453</v>
      </c>
      <c r="I104">
        <v>0</v>
      </c>
      <c r="J104">
        <v>0</v>
      </c>
      <c r="K104">
        <v>585</v>
      </c>
      <c r="L104">
        <v>0</v>
      </c>
      <c r="M104">
        <v>0</v>
      </c>
    </row>
    <row r="105" spans="1:13">
      <c r="A105" s="12">
        <v>46284</v>
      </c>
      <c r="B105">
        <v>21368</v>
      </c>
      <c r="C105">
        <v>0</v>
      </c>
      <c r="D105">
        <v>0</v>
      </c>
      <c r="E105">
        <v>3620</v>
      </c>
      <c r="F105">
        <v>0</v>
      </c>
      <c r="G105">
        <v>0</v>
      </c>
      <c r="H105">
        <v>1244</v>
      </c>
      <c r="I105">
        <v>0</v>
      </c>
      <c r="J105">
        <v>0</v>
      </c>
      <c r="K105">
        <v>570</v>
      </c>
      <c r="L105">
        <v>0</v>
      </c>
      <c r="M105">
        <v>0</v>
      </c>
    </row>
    <row r="106" spans="1:13">
      <c r="A106" s="12">
        <v>46285</v>
      </c>
      <c r="B106">
        <v>22007</v>
      </c>
      <c r="C106">
        <v>0</v>
      </c>
      <c r="D106">
        <v>0</v>
      </c>
      <c r="E106">
        <v>6765</v>
      </c>
      <c r="F106">
        <v>0</v>
      </c>
      <c r="G106">
        <v>0</v>
      </c>
      <c r="H106">
        <v>1203</v>
      </c>
      <c r="I106">
        <v>0</v>
      </c>
      <c r="J106">
        <v>0</v>
      </c>
      <c r="K106">
        <v>580</v>
      </c>
      <c r="L106">
        <v>0</v>
      </c>
      <c r="M106">
        <v>0</v>
      </c>
    </row>
    <row r="107" spans="1:13">
      <c r="A107" s="12">
        <v>46286</v>
      </c>
      <c r="B107">
        <v>19875</v>
      </c>
      <c r="C107">
        <v>0</v>
      </c>
      <c r="D107">
        <v>0</v>
      </c>
      <c r="E107">
        <v>4193</v>
      </c>
      <c r="F107">
        <v>0</v>
      </c>
      <c r="G107">
        <v>0</v>
      </c>
      <c r="H107">
        <v>1358</v>
      </c>
      <c r="I107">
        <v>0</v>
      </c>
      <c r="J107">
        <v>0</v>
      </c>
      <c r="K107">
        <v>525</v>
      </c>
      <c r="L107">
        <v>0</v>
      </c>
      <c r="M107">
        <v>0</v>
      </c>
    </row>
    <row r="108" spans="1:13">
      <c r="A108" s="12">
        <v>46287</v>
      </c>
      <c r="B108">
        <v>17233</v>
      </c>
      <c r="C108">
        <v>0</v>
      </c>
      <c r="D108">
        <v>0</v>
      </c>
      <c r="E108">
        <v>4208</v>
      </c>
      <c r="F108">
        <v>0</v>
      </c>
      <c r="G108">
        <v>0</v>
      </c>
      <c r="H108">
        <v>1162</v>
      </c>
      <c r="I108">
        <v>0</v>
      </c>
      <c r="J108">
        <v>0</v>
      </c>
      <c r="K108">
        <v>531</v>
      </c>
      <c r="L108">
        <v>0</v>
      </c>
      <c r="M108">
        <v>0</v>
      </c>
    </row>
    <row r="109" spans="1:13">
      <c r="A109" s="12">
        <v>46288</v>
      </c>
      <c r="B109">
        <v>21017</v>
      </c>
      <c r="C109">
        <v>0</v>
      </c>
      <c r="D109">
        <v>0</v>
      </c>
      <c r="E109">
        <v>4212</v>
      </c>
      <c r="F109">
        <v>0</v>
      </c>
      <c r="G109">
        <v>0</v>
      </c>
      <c r="H109">
        <v>1218</v>
      </c>
      <c r="I109">
        <v>0</v>
      </c>
      <c r="J109">
        <v>0</v>
      </c>
      <c r="K109">
        <v>529</v>
      </c>
      <c r="L109">
        <v>0</v>
      </c>
      <c r="M109">
        <v>0</v>
      </c>
    </row>
    <row r="110" spans="1:13">
      <c r="A110" s="12">
        <v>46289</v>
      </c>
      <c r="B110">
        <v>20383</v>
      </c>
      <c r="C110">
        <v>0</v>
      </c>
      <c r="D110">
        <v>0</v>
      </c>
      <c r="E110">
        <v>3992</v>
      </c>
      <c r="F110">
        <v>0</v>
      </c>
      <c r="G110">
        <v>0</v>
      </c>
      <c r="H110">
        <v>1373</v>
      </c>
      <c r="I110">
        <v>0</v>
      </c>
      <c r="J110">
        <v>0</v>
      </c>
      <c r="K110">
        <v>547</v>
      </c>
      <c r="L110">
        <v>0</v>
      </c>
      <c r="M110">
        <v>0</v>
      </c>
    </row>
    <row r="111" spans="1:13">
      <c r="A111" s="12">
        <v>46290</v>
      </c>
      <c r="B111">
        <v>20754</v>
      </c>
      <c r="C111">
        <v>0</v>
      </c>
      <c r="D111">
        <v>0</v>
      </c>
      <c r="E111">
        <v>4236</v>
      </c>
      <c r="F111">
        <v>0</v>
      </c>
      <c r="G111">
        <v>0</v>
      </c>
      <c r="H111">
        <v>1289</v>
      </c>
      <c r="I111">
        <v>0</v>
      </c>
      <c r="J111">
        <v>0</v>
      </c>
      <c r="K111">
        <v>592</v>
      </c>
      <c r="L111">
        <v>0</v>
      </c>
      <c r="M111">
        <v>0</v>
      </c>
    </row>
    <row r="112" spans="1:13">
      <c r="A112" s="12">
        <v>46291</v>
      </c>
      <c r="B112">
        <v>22307</v>
      </c>
      <c r="C112">
        <v>0</v>
      </c>
      <c r="D112">
        <v>0</v>
      </c>
      <c r="E112">
        <v>4890</v>
      </c>
      <c r="F112">
        <v>0</v>
      </c>
      <c r="G112">
        <v>0</v>
      </c>
      <c r="H112">
        <v>1201</v>
      </c>
      <c r="I112">
        <v>0</v>
      </c>
      <c r="J112">
        <v>0</v>
      </c>
      <c r="K112">
        <v>538</v>
      </c>
      <c r="L112">
        <v>0</v>
      </c>
      <c r="M112">
        <v>0</v>
      </c>
    </row>
    <row r="113" spans="1:13">
      <c r="A113" s="12">
        <v>46292</v>
      </c>
      <c r="B113">
        <v>19667</v>
      </c>
      <c r="C113">
        <v>0</v>
      </c>
      <c r="D113">
        <v>0</v>
      </c>
      <c r="E113">
        <v>5063</v>
      </c>
      <c r="F113">
        <v>0</v>
      </c>
      <c r="G113">
        <v>0</v>
      </c>
      <c r="H113">
        <v>1403</v>
      </c>
      <c r="I113">
        <v>0</v>
      </c>
      <c r="J113">
        <v>0</v>
      </c>
      <c r="K113">
        <v>579</v>
      </c>
      <c r="L113">
        <v>0</v>
      </c>
      <c r="M113">
        <v>0</v>
      </c>
    </row>
    <row r="114" spans="1:13">
      <c r="A114" s="12">
        <v>46293</v>
      </c>
      <c r="B114">
        <v>22431</v>
      </c>
      <c r="C114">
        <v>0</v>
      </c>
      <c r="D114">
        <v>0</v>
      </c>
      <c r="E114">
        <v>5225</v>
      </c>
      <c r="F114">
        <v>0</v>
      </c>
      <c r="G114">
        <v>0</v>
      </c>
      <c r="H114">
        <v>1490</v>
      </c>
      <c r="I114">
        <v>0</v>
      </c>
      <c r="J114">
        <v>0</v>
      </c>
      <c r="K114">
        <v>565</v>
      </c>
      <c r="L114">
        <v>0</v>
      </c>
      <c r="M114">
        <v>0</v>
      </c>
    </row>
    <row r="115" spans="1:13">
      <c r="A115" s="12">
        <v>46294</v>
      </c>
      <c r="B115">
        <v>18473</v>
      </c>
      <c r="C115">
        <v>0</v>
      </c>
      <c r="D115">
        <v>0</v>
      </c>
      <c r="E115">
        <v>5302</v>
      </c>
      <c r="F115">
        <v>0</v>
      </c>
      <c r="G115">
        <v>0</v>
      </c>
      <c r="H115">
        <v>1813</v>
      </c>
      <c r="I115">
        <v>0</v>
      </c>
      <c r="J115">
        <v>0</v>
      </c>
      <c r="K115">
        <v>665</v>
      </c>
      <c r="L115">
        <v>0</v>
      </c>
      <c r="M115">
        <v>0</v>
      </c>
    </row>
    <row r="116" spans="1:13">
      <c r="A116" s="12">
        <v>46295</v>
      </c>
      <c r="B116">
        <v>21238</v>
      </c>
      <c r="C116">
        <v>0</v>
      </c>
      <c r="D116">
        <v>0</v>
      </c>
      <c r="E116">
        <v>4435</v>
      </c>
      <c r="F116">
        <v>0</v>
      </c>
      <c r="G116">
        <v>0</v>
      </c>
      <c r="H116">
        <v>1326</v>
      </c>
      <c r="I116">
        <v>0</v>
      </c>
      <c r="J116">
        <v>0</v>
      </c>
      <c r="K116">
        <v>610</v>
      </c>
      <c r="L116">
        <v>0</v>
      </c>
      <c r="M116">
        <v>0</v>
      </c>
    </row>
    <row r="117" spans="1:13">
      <c r="A117" s="12">
        <v>46296</v>
      </c>
      <c r="B117">
        <v>10425</v>
      </c>
      <c r="C117">
        <v>0</v>
      </c>
      <c r="D117">
        <v>0</v>
      </c>
      <c r="E117">
        <v>2880</v>
      </c>
      <c r="F117">
        <v>0</v>
      </c>
      <c r="G117">
        <v>0</v>
      </c>
      <c r="H117">
        <v>1345</v>
      </c>
      <c r="I117">
        <v>0</v>
      </c>
      <c r="J117">
        <v>0</v>
      </c>
      <c r="K117">
        <v>555</v>
      </c>
      <c r="L117">
        <v>0</v>
      </c>
      <c r="M117">
        <v>0</v>
      </c>
    </row>
    <row r="118" spans="1:13">
      <c r="A118" s="12">
        <v>46297</v>
      </c>
      <c r="B118">
        <v>21291</v>
      </c>
      <c r="C118">
        <v>0</v>
      </c>
      <c r="D118">
        <v>0</v>
      </c>
      <c r="E118">
        <v>6820</v>
      </c>
      <c r="F118">
        <v>0</v>
      </c>
      <c r="G118">
        <v>0</v>
      </c>
      <c r="H118">
        <v>1178</v>
      </c>
      <c r="I118">
        <v>0</v>
      </c>
      <c r="J118">
        <v>0</v>
      </c>
      <c r="K118">
        <v>570</v>
      </c>
      <c r="L118">
        <v>0</v>
      </c>
      <c r="M11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e11a23f-3553-4745-b513-83632ef1acf3" xsi:nil="true"/>
    <lcf76f155ced4ddcb4097134ff3c332f xmlns="761af89e-1749-4001-a5ec-3f4afda2eb6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5862254BD58479CB6D95C1D4AAE6A" ma:contentTypeVersion="19" ma:contentTypeDescription="Create a new document." ma:contentTypeScope="" ma:versionID="dc7916497a1fd6819727e31f7bf64d18">
  <xsd:schema xmlns:xsd="http://www.w3.org/2001/XMLSchema" xmlns:xs="http://www.w3.org/2001/XMLSchema" xmlns:p="http://schemas.microsoft.com/office/2006/metadata/properties" xmlns:ns2="761af89e-1749-4001-a5ec-3f4afda2eb63" xmlns:ns3="de11a23f-3553-4745-b513-83632ef1acf3" targetNamespace="http://schemas.microsoft.com/office/2006/metadata/properties" ma:root="true" ma:fieldsID="fdb4f5cd6010e2afd34077ea8abb84d1" ns2:_="" ns3:_="">
    <xsd:import namespace="761af89e-1749-4001-a5ec-3f4afda2eb63"/>
    <xsd:import namespace="de11a23f-3553-4745-b513-83632ef1ac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f89e-1749-4001-a5ec-3f4afda2eb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1a23f-3553-4745-b513-83632ef1acf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67d7d20d-b1f5-49a9-a582-c4f0183869e1}" ma:internalName="TaxCatchAll" ma:showField="CatchAllData" ma:web="de11a23f-3553-4745-b513-83632ef1ac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07BD22-57E1-4C10-A3B5-4820048C45D4}"/>
</file>

<file path=customXml/itemProps2.xml><?xml version="1.0" encoding="utf-8"?>
<ds:datastoreItem xmlns:ds="http://schemas.openxmlformats.org/officeDocument/2006/customXml" ds:itemID="{EFF9C6AB-A604-4632-B100-1FAF3710D944}"/>
</file>

<file path=customXml/itemProps3.xml><?xml version="1.0" encoding="utf-8"?>
<ds:datastoreItem xmlns:ds="http://schemas.openxmlformats.org/officeDocument/2006/customXml" ds:itemID="{06A5175C-0130-4752-B62F-1E389FE504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GenathA</dc:creator>
  <cp:keywords/>
  <dc:description/>
  <cp:lastModifiedBy>OWINO, Geofrey</cp:lastModifiedBy>
  <cp:revision/>
  <dcterms:created xsi:type="dcterms:W3CDTF">2026-08-06T15:51:21Z</dcterms:created>
  <dcterms:modified xsi:type="dcterms:W3CDTF">2026-10-12T17:03:39Z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0x0101000D45862254BD58479CB6D95C1D4AAE6A</vt:lpwstr>
  </property>
  <property fmtid="{D5CDD505-2E9C-101B-9397-08002B2CF9AE}" pid="3" name="MediaServiceImageTags">
    <vt:lpwstr/>
  </property>
</Properties>
</file>